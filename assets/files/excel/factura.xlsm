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bd9f424e6bfcdfa/Mis aplicaciones/"/>
    </mc:Choice>
  </mc:AlternateContent>
  <xr:revisionPtr revIDLastSave="12" documentId="13_ncr:1_{E40E1974-0DA3-44C1-9115-F9010E124D07}" xr6:coauthVersionLast="47" xr6:coauthVersionMax="47" xr10:uidLastSave="{7009905B-3B23-4FB1-8C9B-1923541EC606}"/>
  <bookViews>
    <workbookView xWindow="-120" yWindow="-120" windowWidth="21840" windowHeight="13140" xr2:uid="{00000000-000D-0000-FFFF-FFFF00000000}"/>
  </bookViews>
  <sheets>
    <sheet name="Factura" sheetId="3" r:id="rId1"/>
    <sheet name="Clientes" sheetId="4" r:id="rId2"/>
    <sheet name="Productos" sheetId="5" r:id="rId3"/>
  </sheets>
  <definedNames>
    <definedName name="_xlnm._FilterDatabase" localSheetId="1" hidden="1">Clientes!#REF!</definedName>
    <definedName name="busc_cliente">OFFSET(Clientes!$B$2,0,0,COUNTA(Clientes!$B:$B)-1,1)</definedName>
    <definedName name="clientes">OFFSET(Clientes!$B$2,0,0,COUNTA(Clientes!$B:$B)-1,5)</definedName>
    <definedName name="productos">OFFSET(Productos!$A$2,0,0,COUNTA(Productos!$A:$A)-1,3)</definedName>
  </definedNames>
  <calcPr calcId="181029"/>
</workbook>
</file>

<file path=xl/calcChain.xml><?xml version="1.0" encoding="utf-8"?>
<calcChain xmlns="http://schemas.openxmlformats.org/spreadsheetml/2006/main">
  <c r="G23" i="3" l="1"/>
  <c r="G24" i="3"/>
  <c r="G25" i="3"/>
  <c r="G26" i="3"/>
  <c r="G27" i="3"/>
  <c r="G28" i="3"/>
  <c r="G29" i="3"/>
  <c r="G30" i="3"/>
  <c r="F17" i="3"/>
  <c r="G17" i="3" s="1"/>
  <c r="F18" i="3"/>
  <c r="G18" i="3" s="1"/>
  <c r="F19" i="3"/>
  <c r="G19" i="3" s="1"/>
  <c r="F20" i="3"/>
  <c r="G20" i="3" s="1"/>
  <c r="F21" i="3"/>
  <c r="G21" i="3" s="1"/>
  <c r="F22" i="3"/>
  <c r="G22" i="3" s="1"/>
  <c r="F23" i="3"/>
  <c r="F24" i="3"/>
  <c r="F25" i="3"/>
  <c r="F26" i="3"/>
  <c r="F27" i="3"/>
  <c r="F28" i="3"/>
  <c r="F29" i="3"/>
  <c r="F30" i="3"/>
  <c r="F16" i="3"/>
  <c r="G16" i="3" s="1"/>
  <c r="G4" i="3"/>
  <c r="B13" i="3"/>
  <c r="B12" i="3"/>
  <c r="B11" i="3"/>
  <c r="B10" i="3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2" i="4"/>
  <c r="G2" i="3"/>
  <c r="G31" i="3" l="1"/>
  <c r="G33" i="3" s="1"/>
  <c r="G35" i="3" l="1"/>
</calcChain>
</file>

<file path=xl/sharedStrings.xml><?xml version="1.0" encoding="utf-8"?>
<sst xmlns="http://schemas.openxmlformats.org/spreadsheetml/2006/main" count="2025" uniqueCount="1055">
  <si>
    <t>TOTAL</t>
  </si>
  <si>
    <t>SUBTOTAL</t>
  </si>
  <si>
    <t>[123456]</t>
  </si>
  <si>
    <t>[42]</t>
  </si>
  <si>
    <t>FACTURA</t>
  </si>
  <si>
    <t>[Dirección]</t>
  </si>
  <si>
    <t>DESCRIPCIÓN</t>
  </si>
  <si>
    <t>Nº de Cliente</t>
  </si>
  <si>
    <t>COMENTARIOS</t>
  </si>
  <si>
    <t>FACTURAR A:</t>
  </si>
  <si>
    <t>[nombre de su compañía]</t>
  </si>
  <si>
    <t>1. Total a pagar en 30 días</t>
  </si>
  <si>
    <t>2. Incluya por favor el número de factura en su cheque</t>
  </si>
  <si>
    <t>[Nombre, Teléfono, E-mail]</t>
  </si>
  <si>
    <t>¡Gracias por su negocio!</t>
  </si>
  <si>
    <t>IMPUESTO</t>
  </si>
  <si>
    <t>TASA DE IMPUESTO</t>
  </si>
  <si>
    <t>OTRO</t>
  </si>
  <si>
    <t>Fecha:</t>
  </si>
  <si>
    <t xml:space="preserve">Haga los cheques pagaderos a
</t>
  </si>
  <si>
    <t>Si usted tiene preguntas sobre esta factura, póngase en contacto con</t>
  </si>
  <si>
    <t>Nº de Factura</t>
  </si>
  <si>
    <t>ID</t>
  </si>
  <si>
    <t>RUC</t>
  </si>
  <si>
    <t>J0310000339848</t>
  </si>
  <si>
    <t>J0310000000980</t>
  </si>
  <si>
    <t>J0310000376506</t>
  </si>
  <si>
    <t>J0310000253994</t>
  </si>
  <si>
    <t>J0210000061535</t>
  </si>
  <si>
    <t>J0310000005354</t>
  </si>
  <si>
    <t>J0310000004889</t>
  </si>
  <si>
    <t>J0310000093695</t>
  </si>
  <si>
    <t>J0310000000280</t>
  </si>
  <si>
    <t>J0310000034826</t>
  </si>
  <si>
    <t>J0310000268380</t>
  </si>
  <si>
    <t>J0310000001170</t>
  </si>
  <si>
    <t>J0310000121575</t>
  </si>
  <si>
    <t>J0310000018855</t>
  </si>
  <si>
    <t>J0310000165793</t>
  </si>
  <si>
    <t>J0310000092079</t>
  </si>
  <si>
    <t>J0310000226571</t>
  </si>
  <si>
    <t>J0310000003904</t>
  </si>
  <si>
    <t>J0310000021619</t>
  </si>
  <si>
    <t>J0320000086643</t>
  </si>
  <si>
    <t>J0310000113424</t>
  </si>
  <si>
    <t>J0310000307008</t>
  </si>
  <si>
    <t>J0310000177619</t>
  </si>
  <si>
    <t>J0310000114064</t>
  </si>
  <si>
    <t>J0310000001707</t>
  </si>
  <si>
    <t>J0310000006830</t>
  </si>
  <si>
    <t>J0310000136483</t>
  </si>
  <si>
    <t>J0310000001073</t>
  </si>
  <si>
    <t>J0910000225270</t>
  </si>
  <si>
    <t>J0510000001773</t>
  </si>
  <si>
    <t>J0310000032289</t>
  </si>
  <si>
    <t>J0310000092370</t>
  </si>
  <si>
    <t>0011011580048X</t>
  </si>
  <si>
    <t>0012110650002C</t>
  </si>
  <si>
    <t>J0310000034290</t>
  </si>
  <si>
    <t>J0310000041490</t>
  </si>
  <si>
    <t>J0310000228698</t>
  </si>
  <si>
    <t>J0310000012814</t>
  </si>
  <si>
    <t>J0310000102759</t>
  </si>
  <si>
    <t>J0310000322201</t>
  </si>
  <si>
    <t>J0310000040958</t>
  </si>
  <si>
    <t>J0810000000126</t>
  </si>
  <si>
    <t>J0210000217918</t>
  </si>
  <si>
    <t>J0310000003831</t>
  </si>
  <si>
    <t>J0310000087768</t>
  </si>
  <si>
    <t>J0310000000670</t>
  </si>
  <si>
    <t>J0310000001294</t>
  </si>
  <si>
    <t>J0310000242445</t>
  </si>
  <si>
    <t>J0310000002720</t>
  </si>
  <si>
    <t>J0310000001936</t>
  </si>
  <si>
    <t>J0310000004820</t>
  </si>
  <si>
    <t>J0310000002339</t>
  </si>
  <si>
    <t>J0310000220220</t>
  </si>
  <si>
    <t>J0310000001090</t>
  </si>
  <si>
    <t>J0310000004790</t>
  </si>
  <si>
    <t>J1330000004441</t>
  </si>
  <si>
    <t>J0310000002002</t>
  </si>
  <si>
    <t>J0310000001952</t>
  </si>
  <si>
    <t>J0310000006296</t>
  </si>
  <si>
    <t>0811102570005R</t>
  </si>
  <si>
    <t>J0310000011907</t>
  </si>
  <si>
    <t>J0310000140189</t>
  </si>
  <si>
    <t>J0310000004080</t>
  </si>
  <si>
    <t>J0310000002142</t>
  </si>
  <si>
    <t>J0310000122300</t>
  </si>
  <si>
    <t>J0310000122423</t>
  </si>
  <si>
    <t>J0310000009120</t>
  </si>
  <si>
    <t>J0310000003548</t>
  </si>
  <si>
    <t>J0310000004650</t>
  </si>
  <si>
    <t>J0310000057796</t>
  </si>
  <si>
    <t>J0310000001383</t>
  </si>
  <si>
    <t>J0310000005540</t>
  </si>
  <si>
    <t>J0310000005508</t>
  </si>
  <si>
    <t>J0310000003203</t>
  </si>
  <si>
    <t>J0310000177732</t>
  </si>
  <si>
    <t>J0310000003858</t>
  </si>
  <si>
    <t>J0310000000271</t>
  </si>
  <si>
    <t>J0310000150907</t>
  </si>
  <si>
    <t>J0310000005737</t>
  </si>
  <si>
    <t>J0310000002371</t>
  </si>
  <si>
    <t>J0310000182540</t>
  </si>
  <si>
    <t>J0310000001820</t>
  </si>
  <si>
    <t>J0310000086443</t>
  </si>
  <si>
    <t>J0410000000225</t>
  </si>
  <si>
    <t>J0310000249806</t>
  </si>
  <si>
    <t>J0310000000255</t>
  </si>
  <si>
    <t>J0310000211876</t>
  </si>
  <si>
    <t>J0310000006440</t>
  </si>
  <si>
    <t>J0310000111820</t>
  </si>
  <si>
    <t>J0710000001349</t>
  </si>
  <si>
    <t>J0310000029679</t>
  </si>
  <si>
    <t>J0310000005273</t>
  </si>
  <si>
    <t>J0310000000417</t>
  </si>
  <si>
    <t>J0310000006644</t>
  </si>
  <si>
    <t>J0310000005290</t>
  </si>
  <si>
    <t>J0310000381143</t>
  </si>
  <si>
    <t>J0310000002487</t>
  </si>
  <si>
    <t>J0310000000760</t>
  </si>
  <si>
    <t>J0310000005982</t>
  </si>
  <si>
    <t>J0310000001960</t>
  </si>
  <si>
    <t>J0310000193169</t>
  </si>
  <si>
    <t>J0310000017921</t>
  </si>
  <si>
    <t>J0110000149616</t>
  </si>
  <si>
    <t>J0310000002096</t>
  </si>
  <si>
    <t>J0310000358001</t>
  </si>
  <si>
    <t>J0310000000301</t>
  </si>
  <si>
    <t>J0310000003769</t>
  </si>
  <si>
    <t>J0310000000247</t>
  </si>
  <si>
    <t>J0310000210292</t>
  </si>
  <si>
    <t>J0310000009392</t>
  </si>
  <si>
    <t>J0510000295416</t>
  </si>
  <si>
    <t>J0110000038601</t>
  </si>
  <si>
    <t>J0310000004226</t>
  </si>
  <si>
    <t>J1010000343063</t>
  </si>
  <si>
    <t>J1010000376239</t>
  </si>
  <si>
    <t>J0310000375895</t>
  </si>
  <si>
    <t>J0310000370524</t>
  </si>
  <si>
    <t>J0310000377243</t>
  </si>
  <si>
    <t>J0310000003807</t>
  </si>
  <si>
    <t>J0310000006130</t>
  </si>
  <si>
    <t>J0510000018226</t>
  </si>
  <si>
    <t>J0310000018448</t>
  </si>
  <si>
    <t>J0810000003702</t>
  </si>
  <si>
    <t>J0310000084866</t>
  </si>
  <si>
    <t>J0410000046527</t>
  </si>
  <si>
    <t>J0410000026011</t>
  </si>
  <si>
    <t>J0110000017680</t>
  </si>
  <si>
    <t>J0410000020943</t>
  </si>
  <si>
    <t>J0410000007432</t>
  </si>
  <si>
    <t>J0410000094106</t>
  </si>
  <si>
    <t>J0410000006860</t>
  </si>
  <si>
    <t>J0410000118781</t>
  </si>
  <si>
    <t>J0310000003530</t>
  </si>
  <si>
    <t>J0310000001693</t>
  </si>
  <si>
    <t>J0310000005419</t>
  </si>
  <si>
    <t>J0310000000425</t>
  </si>
  <si>
    <t>J1430000003482</t>
  </si>
  <si>
    <t>J0310000000573</t>
  </si>
  <si>
    <t>J0310000220778</t>
  </si>
  <si>
    <t>J0310000002509</t>
  </si>
  <si>
    <t>J0310000054150</t>
  </si>
  <si>
    <t>J0310000006229</t>
  </si>
  <si>
    <t>J0310000001472</t>
  </si>
  <si>
    <t>J0910000106018</t>
  </si>
  <si>
    <t>J0310000046638</t>
  </si>
  <si>
    <t>J0310000000891</t>
  </si>
  <si>
    <t>J0310000000468</t>
  </si>
  <si>
    <t>J0310000006580</t>
  </si>
  <si>
    <t>J0310000001626</t>
  </si>
  <si>
    <t>J0610000004327</t>
  </si>
  <si>
    <t>J0310000002363</t>
  </si>
  <si>
    <t>J0310000041245</t>
  </si>
  <si>
    <t>J0310000004137</t>
  </si>
  <si>
    <t>J0310000003017</t>
  </si>
  <si>
    <t>J0310000003289</t>
  </si>
  <si>
    <t>J0310000135142</t>
  </si>
  <si>
    <t>J0110000009172</t>
  </si>
  <si>
    <t>J0310000008078</t>
  </si>
  <si>
    <t>J0310000001804</t>
  </si>
  <si>
    <t>J0310000055947</t>
  </si>
  <si>
    <t>J0310000000026</t>
  </si>
  <si>
    <t>J0310000016259</t>
  </si>
  <si>
    <t>J0310000003750</t>
  </si>
  <si>
    <t>J0310000135100</t>
  </si>
  <si>
    <t>J1210000006279</t>
  </si>
  <si>
    <t>J0310000171963</t>
  </si>
  <si>
    <t>J0310000082634</t>
  </si>
  <si>
    <t>J0310000044775</t>
  </si>
  <si>
    <t>J0310000000956</t>
  </si>
  <si>
    <t>J0310000195790</t>
  </si>
  <si>
    <t>J0310000001251</t>
  </si>
  <si>
    <t>J0310000004145</t>
  </si>
  <si>
    <t>J0310000005257</t>
  </si>
  <si>
    <t>J0310000004498</t>
  </si>
  <si>
    <t>J0310000000824</t>
  </si>
  <si>
    <t>J0310000117101</t>
  </si>
  <si>
    <t>J0310000343616</t>
  </si>
  <si>
    <t>J0310000001197</t>
  </si>
  <si>
    <t>J0310000118353</t>
  </si>
  <si>
    <t>J0310000005460</t>
  </si>
  <si>
    <t>J0310000008604</t>
  </si>
  <si>
    <t>J0310000124906</t>
  </si>
  <si>
    <t>J0910000292997</t>
  </si>
  <si>
    <t>J0310000102678</t>
  </si>
  <si>
    <t>J0310000037710</t>
  </si>
  <si>
    <t>J0310000001375</t>
  </si>
  <si>
    <t>J0310000003955</t>
  </si>
  <si>
    <t>J0310000155011</t>
  </si>
  <si>
    <t>J0310000082057</t>
  </si>
  <si>
    <t>J1210000006716</t>
  </si>
  <si>
    <t>J0310000002614</t>
  </si>
  <si>
    <t>J1210000022940</t>
  </si>
  <si>
    <t>J0310000003661</t>
  </si>
  <si>
    <t>J0610000005994</t>
  </si>
  <si>
    <t>J0310000272530</t>
  </si>
  <si>
    <t>J0130000128997</t>
  </si>
  <si>
    <t>J0130000117170</t>
  </si>
  <si>
    <t>J0310000003050</t>
  </si>
  <si>
    <t>J0130000003825</t>
  </si>
  <si>
    <t>J0310000112428</t>
  </si>
  <si>
    <t>J0310000035172</t>
  </si>
  <si>
    <t>J0110000035076</t>
  </si>
  <si>
    <t>J0310000031711</t>
  </si>
  <si>
    <t>J0310000003327</t>
  </si>
  <si>
    <t>J0310000002207</t>
  </si>
  <si>
    <t>J0310000000166</t>
  </si>
  <si>
    <t>J0310000003165</t>
  </si>
  <si>
    <t>J0310000035563</t>
  </si>
  <si>
    <t>J0310000259666</t>
  </si>
  <si>
    <t>J0310000080763</t>
  </si>
  <si>
    <t>J0310000003998</t>
  </si>
  <si>
    <t>J0310000287228</t>
  </si>
  <si>
    <t>J0310000294097</t>
  </si>
  <si>
    <t>J0310000115346</t>
  </si>
  <si>
    <t>J0310000079617</t>
  </si>
  <si>
    <t>J0310000170967</t>
  </si>
  <si>
    <t>J0310000197849</t>
  </si>
  <si>
    <t>J0310000126526</t>
  </si>
  <si>
    <t>J0510000000971</t>
  </si>
  <si>
    <t>J0310000002550</t>
  </si>
  <si>
    <t>J0310000001430</t>
  </si>
  <si>
    <t>J0310000002975</t>
  </si>
  <si>
    <t>J0310000079994</t>
  </si>
  <si>
    <t>J0310000112410</t>
  </si>
  <si>
    <t>J0310000245827</t>
  </si>
  <si>
    <t>J0310000005249</t>
  </si>
  <si>
    <t>J0310000258368</t>
  </si>
  <si>
    <t>1630812660000W</t>
  </si>
  <si>
    <t>J0210000122240</t>
  </si>
  <si>
    <t>J0310000057931</t>
  </si>
  <si>
    <t>J0310000000476</t>
  </si>
  <si>
    <t>J0110000081167</t>
  </si>
  <si>
    <t>J0310000005001</t>
  </si>
  <si>
    <t>J0310000004730</t>
  </si>
  <si>
    <t>J0310000125627</t>
  </si>
  <si>
    <t>J0310000001030</t>
  </si>
  <si>
    <t>2811502710018R</t>
  </si>
  <si>
    <t>J0310000038074</t>
  </si>
  <si>
    <t>J0310000035385</t>
  </si>
  <si>
    <t>J0310000000018</t>
  </si>
  <si>
    <t>J0310000000492</t>
  </si>
  <si>
    <t>J0310000005486</t>
  </si>
  <si>
    <t>J0310000001499</t>
  </si>
  <si>
    <t>J0310000212937</t>
  </si>
  <si>
    <t>J0310000004951</t>
  </si>
  <si>
    <t>J0310000124175</t>
  </si>
  <si>
    <t>J0310000110638</t>
  </si>
  <si>
    <t>J0310000003343</t>
  </si>
  <si>
    <t>J0310000309310</t>
  </si>
  <si>
    <t>J0310000001790</t>
  </si>
  <si>
    <t>J0310000002290</t>
  </si>
  <si>
    <t>J0310000001049</t>
  </si>
  <si>
    <t>J0310000003912</t>
  </si>
  <si>
    <t>J0910000063068</t>
  </si>
  <si>
    <t>J0310000085803</t>
  </si>
  <si>
    <t>J0310000000794</t>
  </si>
  <si>
    <t>J0310000007063</t>
  </si>
  <si>
    <t>J0310000079200</t>
  </si>
  <si>
    <t>J0310000004013</t>
  </si>
  <si>
    <t>J0310000052123</t>
  </si>
  <si>
    <t>J0310000004153</t>
  </si>
  <si>
    <t>J0310000036861</t>
  </si>
  <si>
    <t>J0310000003211</t>
  </si>
  <si>
    <t>J0310000001731</t>
  </si>
  <si>
    <t>J0310000247897</t>
  </si>
  <si>
    <t>J0310000002444</t>
  </si>
  <si>
    <t>J0310000004811</t>
  </si>
  <si>
    <t>J0310000001200</t>
  </si>
  <si>
    <t>J0310000000875</t>
  </si>
  <si>
    <t>J0310000005680</t>
  </si>
  <si>
    <t>J0310000012920</t>
  </si>
  <si>
    <t>J0310000005052</t>
  </si>
  <si>
    <t>J0310000003718</t>
  </si>
  <si>
    <t>J0310000005125</t>
  </si>
  <si>
    <t>J0310000064385</t>
  </si>
  <si>
    <t>J0310000034281</t>
  </si>
  <si>
    <t>J0310000005664</t>
  </si>
  <si>
    <t>J0310000008043</t>
  </si>
  <si>
    <t>J0110000049697</t>
  </si>
  <si>
    <t>J0310000115168</t>
  </si>
  <si>
    <t>J0310000027587</t>
  </si>
  <si>
    <t>J0310000006024</t>
  </si>
  <si>
    <t>J0310000120803</t>
  </si>
  <si>
    <t>J0310000080704</t>
  </si>
  <si>
    <t>J0310000001871</t>
  </si>
  <si>
    <t>J0310000183430</t>
  </si>
  <si>
    <t>J0310000013853</t>
  </si>
  <si>
    <t>J0310000005397</t>
  </si>
  <si>
    <t>J0310000038031</t>
  </si>
  <si>
    <t>J0310000128456</t>
  </si>
  <si>
    <t>J0910000203579</t>
  </si>
  <si>
    <t>4920312640000T</t>
  </si>
  <si>
    <t>0010511710049S</t>
  </si>
  <si>
    <t>J0310000002126</t>
  </si>
  <si>
    <t>5612011961000M</t>
  </si>
  <si>
    <t>4453011590000F</t>
  </si>
  <si>
    <t>J0310000045879</t>
  </si>
  <si>
    <t>J0310000004005</t>
  </si>
  <si>
    <t>J0310000116814</t>
  </si>
  <si>
    <t>J0310000298874</t>
  </si>
  <si>
    <t>J0310000077061</t>
  </si>
  <si>
    <t>J0310000006148</t>
  </si>
  <si>
    <t>J0310000222215</t>
  </si>
  <si>
    <t>J0310000100004</t>
  </si>
  <si>
    <t>J0310000030944</t>
  </si>
  <si>
    <t>J0310000001596</t>
  </si>
  <si>
    <t>J0310000003262</t>
  </si>
  <si>
    <t>J0110000116114</t>
  </si>
  <si>
    <t>J0210000150015</t>
  </si>
  <si>
    <t>J0310000018880</t>
  </si>
  <si>
    <t>J0310000002800</t>
  </si>
  <si>
    <t>J0310000282013</t>
  </si>
  <si>
    <t>J0310000177678</t>
  </si>
  <si>
    <t>J0310000081956</t>
  </si>
  <si>
    <t>J0310000067538</t>
  </si>
  <si>
    <t>J0310000021660</t>
  </si>
  <si>
    <t>J0310000000816</t>
  </si>
  <si>
    <t>J0310000004773</t>
  </si>
  <si>
    <t>J0310000106312</t>
  </si>
  <si>
    <t>J0310000011869</t>
  </si>
  <si>
    <t>J0310000137773</t>
  </si>
  <si>
    <t>J0310000227519</t>
  </si>
  <si>
    <t>J0310000017581</t>
  </si>
  <si>
    <t>J0310000372306</t>
  </si>
  <si>
    <t>J0310000129150</t>
  </si>
  <si>
    <t>J0310000001286</t>
  </si>
  <si>
    <t>J0310000005826</t>
  </si>
  <si>
    <t>J0310000125864</t>
  </si>
  <si>
    <t>5623009770001F</t>
  </si>
  <si>
    <t>J0310000032904</t>
  </si>
  <si>
    <t>J0310000035393</t>
  </si>
  <si>
    <t>J0310000038627</t>
  </si>
  <si>
    <t>J0310000096783</t>
  </si>
  <si>
    <t>J0310000004862</t>
  </si>
  <si>
    <t>0010810550055L</t>
  </si>
  <si>
    <t>J0310000244987</t>
  </si>
  <si>
    <t>J0310000000387</t>
  </si>
  <si>
    <t>J0310000000697</t>
  </si>
  <si>
    <t>J0310000179549</t>
  </si>
  <si>
    <t>J0310000047804</t>
  </si>
  <si>
    <t>J0310000113386</t>
  </si>
  <si>
    <t>J0310000034273</t>
  </si>
  <si>
    <t>J0310000004056</t>
  </si>
  <si>
    <t>J0310000002193</t>
  </si>
  <si>
    <t>J0310000213038</t>
  </si>
  <si>
    <t>4412909600008Y</t>
  </si>
  <si>
    <t>J0310000174598</t>
  </si>
  <si>
    <t>J0310000003386</t>
  </si>
  <si>
    <t>J0310000145172</t>
  </si>
  <si>
    <t>J0310000002525</t>
  </si>
  <si>
    <t>J0310000002797</t>
  </si>
  <si>
    <t>J0310000005265</t>
  </si>
  <si>
    <t>J0310000000379</t>
  </si>
  <si>
    <t>J0310000149925</t>
  </si>
  <si>
    <t>J0310000060517</t>
  </si>
  <si>
    <t>4412004460009Y</t>
  </si>
  <si>
    <t>J0310000126593</t>
  </si>
  <si>
    <t>J0310000139946</t>
  </si>
  <si>
    <t>J0310000001863</t>
  </si>
  <si>
    <t>J0310000001146</t>
  </si>
  <si>
    <t>J0310000098387</t>
  </si>
  <si>
    <t>J0310000264023</t>
  </si>
  <si>
    <t>J0310000002932</t>
  </si>
  <si>
    <t>J0110000002089</t>
  </si>
  <si>
    <t>J0210000122453</t>
  </si>
  <si>
    <t>J0310000006547</t>
  </si>
  <si>
    <t>J0210000162307</t>
  </si>
  <si>
    <t>J0310000123438</t>
  </si>
  <si>
    <t>J0310000005184</t>
  </si>
  <si>
    <t>J0310000000646</t>
  </si>
  <si>
    <t>J0310000136017</t>
  </si>
  <si>
    <t>J0310000022437</t>
  </si>
  <si>
    <t>J0310000219532</t>
  </si>
  <si>
    <t>J0310000227276</t>
  </si>
  <si>
    <t>J0310000005966</t>
  </si>
  <si>
    <t>J0310000002711</t>
  </si>
  <si>
    <t>J0310000121389</t>
  </si>
  <si>
    <t>J0310000022763</t>
  </si>
  <si>
    <t>J0510000000700</t>
  </si>
  <si>
    <t>J0310000161100</t>
  </si>
  <si>
    <t>J0310000003106</t>
  </si>
  <si>
    <t>J0310000009074</t>
  </si>
  <si>
    <t>J0310000000557</t>
  </si>
  <si>
    <t>J0310000192847</t>
  </si>
  <si>
    <t>J0310000000336</t>
  </si>
  <si>
    <t>J0310000209537</t>
  </si>
  <si>
    <t>J0310000317194</t>
  </si>
  <si>
    <t>J0310000126160</t>
  </si>
  <si>
    <t>J0910000063726</t>
  </si>
  <si>
    <t>J0310000006202</t>
  </si>
  <si>
    <t>J0310000214956</t>
  </si>
  <si>
    <t>J0320000004973</t>
  </si>
  <si>
    <t>J0310000002843</t>
  </si>
  <si>
    <t>J0310000049033</t>
  </si>
  <si>
    <t>J0310000004161</t>
  </si>
  <si>
    <t>J0910000055731</t>
  </si>
  <si>
    <t>J0310000242607</t>
  </si>
  <si>
    <t>J0310000002860</t>
  </si>
  <si>
    <t>J0310000005974</t>
  </si>
  <si>
    <t>J0310000005036</t>
  </si>
  <si>
    <t>J0310000003114</t>
  </si>
  <si>
    <t>J0310000003645</t>
  </si>
  <si>
    <t>J0310000055327</t>
  </si>
  <si>
    <t>J0510000000505</t>
  </si>
  <si>
    <t>J0310000153477</t>
  </si>
  <si>
    <t>J0310000084173</t>
  </si>
  <si>
    <t>J0310000358974</t>
  </si>
  <si>
    <t>J0310000032777</t>
  </si>
  <si>
    <t>J0310000001367</t>
  </si>
  <si>
    <t>J0310000169683</t>
  </si>
  <si>
    <t>J0310000050236</t>
  </si>
  <si>
    <t>J0310000324425</t>
  </si>
  <si>
    <t>0012301810023J</t>
  </si>
  <si>
    <t>J0310000034184</t>
  </si>
  <si>
    <t>J0310000006423</t>
  </si>
  <si>
    <t>J0310000328285</t>
  </si>
  <si>
    <t>J0310000000581</t>
  </si>
  <si>
    <t>J0310000032548</t>
  </si>
  <si>
    <t>J0310000113793</t>
  </si>
  <si>
    <t>J0310000002070</t>
  </si>
  <si>
    <t>J0310000000441</t>
  </si>
  <si>
    <t>J0310000019975</t>
  </si>
  <si>
    <t>J0310000018057</t>
  </si>
  <si>
    <t>J0310000049300</t>
  </si>
  <si>
    <t>J0310000000450</t>
  </si>
  <si>
    <t>J0310000146276</t>
  </si>
  <si>
    <t>J0310000000999</t>
  </si>
  <si>
    <t>J0310000156166</t>
  </si>
  <si>
    <t>J0310000001782</t>
  </si>
  <si>
    <t>J0310000237395</t>
  </si>
  <si>
    <t>J0310000125392</t>
  </si>
  <si>
    <t>J0310000146055</t>
  </si>
  <si>
    <t>J0310000153957</t>
  </si>
  <si>
    <t>J0310000161437</t>
  </si>
  <si>
    <t>J0310000144362</t>
  </si>
  <si>
    <t>J0310000156360</t>
  </si>
  <si>
    <t>J0310000006008</t>
  </si>
  <si>
    <t>J0310000001812</t>
  </si>
  <si>
    <t>J0310000001057</t>
  </si>
  <si>
    <t>J0310000001502</t>
  </si>
  <si>
    <t>J0310000120862</t>
  </si>
  <si>
    <t>J0310000006660</t>
  </si>
  <si>
    <t>J0310000001995</t>
  </si>
  <si>
    <t>J0310000034788</t>
  </si>
  <si>
    <t>J0310000022976</t>
  </si>
  <si>
    <t>J0110000046914</t>
  </si>
  <si>
    <t>J0210000068343</t>
  </si>
  <si>
    <t>J0310000004749</t>
  </si>
  <si>
    <t>J0310000017050</t>
  </si>
  <si>
    <t>J0310000015783</t>
  </si>
  <si>
    <t>J0310000000603</t>
  </si>
  <si>
    <t>J0310000001740</t>
  </si>
  <si>
    <t>J0310000104905</t>
  </si>
  <si>
    <t>J0310000001570</t>
  </si>
  <si>
    <t>J0310000004994</t>
  </si>
  <si>
    <t>J0110000008052</t>
  </si>
  <si>
    <t>J0610000005943</t>
  </si>
  <si>
    <t>J0510000013038</t>
  </si>
  <si>
    <t>J0310000031371</t>
  </si>
  <si>
    <t>J0310000016658</t>
  </si>
  <si>
    <t>J0210000129415</t>
  </si>
  <si>
    <t>J0310000067015</t>
  </si>
  <si>
    <t>J0310000251495</t>
  </si>
  <si>
    <t>J0310000002177</t>
  </si>
  <si>
    <t>J0310000000174</t>
  </si>
  <si>
    <t>J0310000001308</t>
  </si>
  <si>
    <t>J0310000003742</t>
  </si>
  <si>
    <t>J0310000002622</t>
  </si>
  <si>
    <t>J0310000113785</t>
  </si>
  <si>
    <t>J0310000003084</t>
  </si>
  <si>
    <t>J0310000004048</t>
  </si>
  <si>
    <t>J0310000003610</t>
  </si>
  <si>
    <t>J0310000001847</t>
  </si>
  <si>
    <t>J0410000019350</t>
  </si>
  <si>
    <t>J0410000049984</t>
  </si>
  <si>
    <t>J0210000173058</t>
  </si>
  <si>
    <t>J0310000121249</t>
  </si>
  <si>
    <t>J0310000006695</t>
  </si>
  <si>
    <t>J0510000006554</t>
  </si>
  <si>
    <t>J0310000008094</t>
  </si>
  <si>
    <t>J0210000355083</t>
  </si>
  <si>
    <t>J0310000004803</t>
  </si>
  <si>
    <t>J0110000003875</t>
  </si>
  <si>
    <t>J0310000104441</t>
  </si>
  <si>
    <t>J0310000067503</t>
  </si>
  <si>
    <t>J0310000118124</t>
  </si>
  <si>
    <t>J0310000005834</t>
  </si>
  <si>
    <t>J0310000002592</t>
  </si>
  <si>
    <t>ABASTECEDORA DE ALIMENTOS CENTROAMERICANOS SOCIEDAD ANONIMA ABAC, S.A</t>
  </si>
  <si>
    <t>ACEITERA EL REAL SOCIEDAD ANONIMA ACEREAL</t>
  </si>
  <si>
    <t>ACEITES Y GRASAS ALIMENTICIAS DE NICARAGUA,SOCIEDAD ANONIMA AGRANICSA</t>
  </si>
  <si>
    <t>ACEROS MULTIPLES DE NICARAGUA SOCIEDAD ANONIMA AMUNICSA</t>
  </si>
  <si>
    <t>ADOC DE NICARAGUA SOCIEDAD ANONIMA ADOC</t>
  </si>
  <si>
    <t>AEROTAXI LA COSTEÑA,SOCIEDAD ANONIMA LA COSTEÑA,S.A.</t>
  </si>
  <si>
    <t>AGRENIC COMPLEJO INDUSTRIAL NINDIRI S.A. AGRENIC O AGRENIC CINSA</t>
  </si>
  <si>
    <t>AGRICENTER NICARAGUA &amp; CIA COLECTIVA DE RESPONSABILIDAD LTDA AGRICENTER NICARAGUA &amp; CCRL</t>
  </si>
  <si>
    <t>AGRICOLA GANADERA NORTENA SOCIEDAD ANONIMA AGANORSA</t>
  </si>
  <si>
    <t>AGRO ESPANA NICARAGUA SOCIEDAD ANONIMA AGROESNICA</t>
  </si>
  <si>
    <t>AGRO IRIS SOCIEDAD ANONIMA AGRO IRIS S.A</t>
  </si>
  <si>
    <t>AGROINDUSTRIAL DE OLEAGINOSAS S A AGROSA</t>
  </si>
  <si>
    <t>AGRONEGOCIOS COMERCIALES SOCIEDAD ANONIMA AGRONEGOCIOS COMERCIALES S A</t>
  </si>
  <si>
    <t>AGROPECUARIA BRAVO SOCIEDAD ANONIMA ABRASA</t>
  </si>
  <si>
    <t>AGROPECUARIA DE EXPORTACIONES,SOCIEDAD ANONIMA AGROEXPORT,S.A</t>
  </si>
  <si>
    <t>AGROPECUARIA SANTA LASTENIA SOCIEDAD ANONIMA ASLASA</t>
  </si>
  <si>
    <t>AGROSEMILLAS DE NICARAGUA SOCIEDAD ANONIMA AGROSEMSA</t>
  </si>
  <si>
    <t>AIRPAK INTERNACIONAL NICARAGUA SOCIEDAD ANONIMA AIRPAK INTERNAC NIC S A</t>
  </si>
  <si>
    <t>AJENICARAGUA, SOCIEDAD ANONIMA BIG COLA</t>
  </si>
  <si>
    <t>ALBA DE NICARAGUA SA ALBANISA</t>
  </si>
  <si>
    <t>ALBA GENERACION SOCIEDAD ANONIMA ALBA GENERACION SA</t>
  </si>
  <si>
    <t>ALIMENTOS EM CENTROAMERICA SOCIEDAD ANONIMA EM CENTROAMERICA</t>
  </si>
  <si>
    <t>ALIMENTOS INDUSTRIALES DE NIC SOCIEDAD ANONIMA A.L.I.N.S.A</t>
  </si>
  <si>
    <t>ALMACEN E INDUSTRIAS RIVAS OPSTAELE S.A. RIVAS OPSTAELE</t>
  </si>
  <si>
    <t>ALMACENES SIMAN SOCIEDAD ANONIMA SIMAN S.A.</t>
  </si>
  <si>
    <t>ALPLA NICARAGUA, SOCIEDAD ANONIMA ALPLA, S.A.</t>
  </si>
  <si>
    <t>ALUTECH NICARAGUA, SOCIEDAD ANONIMA ALUTECH NICARAGUA, S.A.</t>
  </si>
  <si>
    <t>ALVIA COMERCIAL, SOCIEDAD ANONIMA ALVIA COMERCIAL S A</t>
  </si>
  <si>
    <t>ALVIMER INTERNACIONAL Y COMPAÑIA LIMITADA ALVIMER</t>
  </si>
  <si>
    <t>AMELA DABDUB IMPORTACIONES &amp; COMPANIA LIMITADA ADIM Y CIA LTDA.</t>
  </si>
  <si>
    <t>AMERIJET INTERNATIONAL INC AMERIJET INTERNATIONAL INC</t>
  </si>
  <si>
    <t>AMPM SOCIEDAD ANONIMA SUPERMERCADO AMPM</t>
  </si>
  <si>
    <t>ANDREA DEL CARMEN VELASQUEZ GAITAN DISTRIB LA UNIVERSAL</t>
  </si>
  <si>
    <t>ANGEL ELI CRUZ SOTO</t>
  </si>
  <si>
    <t>AQUACULTURA TORRECILLAS SOCIEDAD ANONIMA AQUACULTURA TORRECILLA S,A</t>
  </si>
  <si>
    <t>ARABELA NICARAGUA, SOCIEDAD ANONIMA ARABELA</t>
  </si>
  <si>
    <t>ARQUITECTURA INGENIERIA Y CONSTRUCCION INDUSTRIAL DE NICARAGUA S.A ARCONICSA</t>
  </si>
  <si>
    <t>ARROCERA VENLLANO S A ARROCERA VENLLANO SA</t>
  </si>
  <si>
    <t>ASC GROUP INTERNATIONAL CORPORATION SOCIEDAD ANONIMA ASC GROUP S A</t>
  </si>
  <si>
    <t>ASFALTOS INDUSTRIALES, SOCIEDAD ANONIMA</t>
  </si>
  <si>
    <t>ASISTENCIA MEDICA DE OCCIDENTE SOCIEDAD ANONIMA ASISTENCIA MEDICA DE OCCIDENTE SOCIEDAD ANONIMA</t>
  </si>
  <si>
    <t>ASOC SOLIDARISTA DE TRABAJADORES DE HOLCIM NIC ASOHOLCIM</t>
  </si>
  <si>
    <t>ASOCIACION MOMENTANEA CONSORCIO GUARMESA CONSORCIO GUARMESA</t>
  </si>
  <si>
    <t>ASSA COMPAÑIA DE SEGUROS S,A ASSA COMPAÑIA DE SEGUROS</t>
  </si>
  <si>
    <t>ASTRO PACKING SOLUTION, SOCIEDAD ANONIMA ASTRO PACKING SOLUTION, S.A.</t>
  </si>
  <si>
    <t>AUTO MASTER SOCIEDAD ANONIMA AUTO MASTER SOCIEDAD ANONIMA</t>
  </si>
  <si>
    <t>AUTONICA SOCIEDAD ANONIMA CENTRO TOYOTA</t>
  </si>
  <si>
    <t>AVICOLA CENTROAMERICANA SOCIEDAD ANONIMA AVICA SOCIEDAD ANONIMA</t>
  </si>
  <si>
    <t>AVICOLA LA BARRANCA SOCIEDAD ANONIMA AVICOLA LA BARRANCA S.A.</t>
  </si>
  <si>
    <t>AVICOLA LA ESTRELLA SOCIEDAD ANONIMA AVICOLA LA ESTRELLA S.A</t>
  </si>
  <si>
    <t>B.LANZAS CONTRATISTAS CIVILES SOCIEDAD ANONIMA LLANSA INGENIEROS S.A.</t>
  </si>
  <si>
    <t>BANCO AVANZ SOCIEDAD ANONIMA AVANZ</t>
  </si>
  <si>
    <t>BANCO CORPORATIVO SOCIEDAD ANONIMA BANCORP</t>
  </si>
  <si>
    <t>BANCO DE AMERICA CENTRAL SOCIEDAD ANONIMA BANCO DE AMERICA CENTRAL S.A</t>
  </si>
  <si>
    <t>BANCO DE FINANZAS SOCIEDAD ANONIMA BANCO DE FINANZAS S.A.</t>
  </si>
  <si>
    <t>BANCO DE FOMENTO A LA PRODUCCION BANCO PRODUZCAMOS</t>
  </si>
  <si>
    <t>BANCO DE LA PRODUCCION SOCIEDAD ANONIMA BANPRO</t>
  </si>
  <si>
    <t>BANCO FICOHSA NICARAGUA SOCIEDAD ANONIMA. BANCO FICOHSA NICARAGUA S.A.</t>
  </si>
  <si>
    <t>BANCO LAFISE BANCENTRO SOCIEDAD ANONIMA BANCO LAFISE S.A.</t>
  </si>
  <si>
    <t>BAYARDO ALEJANDRO ROMERO SUPERMERCADO Y DISTRIBUIDORA SELECTO</t>
  </si>
  <si>
    <t>BENEFICIADORA NORTENA DE CAFE S.A. BENCAFE</t>
  </si>
  <si>
    <t>BEST BRAND PACAS, SOCIEDAD ANONIMA. BEST BRAND PACAS S,A</t>
  </si>
  <si>
    <t>BIMBO DE NICARAGUA SOCIEDAD ANONIMA BIMBO DE NICARAGUA, S.A.</t>
  </si>
  <si>
    <t>BLANDON MENDIETA, SOCIEDAD ANONIMA, BLAMEN S.A.</t>
  </si>
  <si>
    <t>BLUE POWER &amp; ENERGY SA B. P. E</t>
  </si>
  <si>
    <t>BODEGA MARINA, SOCIEDAD ANONIMA LA BODEGA MARINA S.A</t>
  </si>
  <si>
    <t>BRENNTAG NICARAGUA SOCIEDAD ANONIMA BRENNTAG NICARAGUA S.A</t>
  </si>
  <si>
    <t>BRITISH AMERICAN TOBACCO CENTRAL AMERICA, S.A. BATCA, S.A.</t>
  </si>
  <si>
    <t>BUENA ESPERANZA LIMITADA , SOCIEDAD ANONIMA Página 2 PHARAOHS</t>
  </si>
  <si>
    <t>BUHLER PHARMA, SOCIEDAD ANONIMA BUHLER PHARMA S.A.</t>
  </si>
  <si>
    <t>CAFE SOLUBLE S A CAFE SOLUBLE S A</t>
  </si>
  <si>
    <t>CALOX DE NICARAGUA S A CALOX DE NICARAGUA</t>
  </si>
  <si>
    <t>CAMARONES DEL PACIFICO,SOCIEDAD ANONIMA CAMPA S.A.</t>
  </si>
  <si>
    <t>CARGILL DE NICARAGUA , SOCIEDAD ANONIMA CARGILL , CARGILL DE NICARAGUA, S.A. , TIP TOP</t>
  </si>
  <si>
    <t>CARGO TRANS SOCIEDAD ANONIMA CARGO TRANS</t>
  </si>
  <si>
    <t>CASA COMERCIAL MANTICA SOCIEDAD ANONIMA SUPERMERCADOS LA COLONIA</t>
  </si>
  <si>
    <t>CASA DE LAS MANGUERAS Y CONEXIONES S A LA CASA DE LAS MANGUERAS S A</t>
  </si>
  <si>
    <t>CASA DEL CAFE, SOCIEDAD ANONIMA CASA DEL CAFE S.A</t>
  </si>
  <si>
    <t>CASA MCGREGOR S A CASA MCGREGOR S A</t>
  </si>
  <si>
    <t>CASA PELLAS SOCIEDAD ANONIMA CASA PELLAS</t>
  </si>
  <si>
    <t>CASAVISION SOCIEDAD ANONIMA CASAVISION, S.A.</t>
  </si>
  <si>
    <t>CEMEX NICARAGUA S.A. CEMEX NICARAGUA S.A</t>
  </si>
  <si>
    <t>CENTRAL AMERICAN FISHERIES S A CAF, S.A.</t>
  </si>
  <si>
    <t>CENTRAL DE COOP. DE SERVICIOS MULTIPLES PRODECOOP R.L PRODECOOP R.L</t>
  </si>
  <si>
    <t>CENTRO OFTALMOLOGICO HOSPITAL MILITAR ESCUELA DR ALEJANDRO DAVILA BOLAÑOS</t>
  </si>
  <si>
    <t>CEREALES DE CENTROAMERICA S.A. CERSA</t>
  </si>
  <si>
    <t>CLIMA GLOBAL SOCIEDAD ANONIMA CLIMA GLOBAL SA</t>
  </si>
  <si>
    <t>CLINICA SANTA FE SOCIEDAD ANONIMA CLINICA SANTA FE</t>
  </si>
  <si>
    <t>COGENERACION GREEN POWER, SOCIEDAD ANONIMA COGENERACION GREEN POWER, S.A.</t>
  </si>
  <si>
    <t>COLGATE PALMOLIVE C A INC COLGATE PALMOLIVE</t>
  </si>
  <si>
    <t>COMERCIAL E.DETRINIDAD S.A CEDETSA</t>
  </si>
  <si>
    <t>COMERCIAL INTERNACIONAL AGRICOLA SOCIEDAD ANONIMA CISA AGRO S.A.</t>
  </si>
  <si>
    <t>COMERCIAL INTERNACIONAL EXPORTADORA S.A CISA EXPORTADORA</t>
  </si>
  <si>
    <t>COMERCIAL POZUELO NICARAGUA SOCIEDAD ANONIMA COMERCIAL POZUELO NICARAGUA S.A.</t>
  </si>
  <si>
    <t>COMERCIALIZADORA DE MANI,SOCIEDAD ANONIMA COMASA</t>
  </si>
  <si>
    <t>COMERCIALIZADORA MINERA DE OCCIDENTE SOCIEDAD ANONIMA COMOC S A</t>
  </si>
  <si>
    <t>COMERCIALIZADORA PANAMERICANA, S. A COPASA</t>
  </si>
  <si>
    <t>COMERCIALIZADORA VARGAS SARAVIA,S.A COMVARSA</t>
  </si>
  <si>
    <t>COMPANIA AZUCARERA DEL SUR , S.A. CASUR S.A.</t>
  </si>
  <si>
    <t>COMPANIA CERVECERA DE NICARAGUA S A COMPANIA CERVECERA DE NICARAGUA S A</t>
  </si>
  <si>
    <t>COMPANIA DISTRIBUIDORA DE NICARAGUA S A COMPANIA DISTRIBUIDORA DE NICARAGUA S A</t>
  </si>
  <si>
    <t>COMPAÑIA CENTROAMERICANA DE PRODUCTOS LACTEOS S.A PROLACSA</t>
  </si>
  <si>
    <t>COMPAÑIA INTERAMERICANA DE COMERCIO DE NICARAGUA S.A CINDECO NICARAGUA S.A</t>
  </si>
  <si>
    <t>COMPAÑIA LICORERA DE NICARAGUA S.A. Página 3 COMPAÑIA LICORERA DE NICARAGUA S.A</t>
  </si>
  <si>
    <t>COMPAÑIA NICARAGUENSE DE SERVICIOS, SOCIEDAD ANONIMA CONISER</t>
  </si>
  <si>
    <t>COMPAÑIA PANAMEÑA DE AVIACION S.A COPA AIRLINES.</t>
  </si>
  <si>
    <t>COMPAÑIA SEGUROS AMERICA SOCIEDAD ANONIMA SEGUROS AMERICA S A</t>
  </si>
  <si>
    <t>CONCRETERA TOTAL S A CONCRETERA TOTAL S A</t>
  </si>
  <si>
    <t>CONCRETOS &amp; MAS SOCIEDAD ANONIMA CONCRETOS &amp; MAS, S.A</t>
  </si>
  <si>
    <t>CONGELADOS SOCIEDAD ANONIMA CONGELADOS S.A</t>
  </si>
  <si>
    <t>CONSORCIO ABAS</t>
  </si>
  <si>
    <t>CONSORCIO EOLICO AMAYO FASE II, SOCIEDAD ANON.S.A. CONSORCIO EOLICO AMAYO FASE II S.A.</t>
  </si>
  <si>
    <t>CONSORCIO EOLICO AMAYO SA SUCURSAL NICARAGUA CONSORCIO EOLICO AMAYO SA</t>
  </si>
  <si>
    <t>CONSORCIO EUROPEO HOSPITAL DE CHINANDEGA CEHCHI</t>
  </si>
  <si>
    <t>CONSORCIO GORA MELFOSUR CONSORCIO GORA MELFOSUR</t>
  </si>
  <si>
    <t>CONSORCIO NINDIRI, SOCIEDAD ANONIMA</t>
  </si>
  <si>
    <t>CONSORCIO SAN CRISTOBAL SOCIEDAD ANONIMA CONSACRISA</t>
  </si>
  <si>
    <t>CONSORCIO VACSA CONIASA</t>
  </si>
  <si>
    <t>CONSTRUCCIONES LACAYO FIALLOS S A LACAYO FIALLOS S A</t>
  </si>
  <si>
    <t>CONSTRUCTORA MECO S.A CONSTRUCTORA MECO S .A</t>
  </si>
  <si>
    <t>CONSTRUCTORA SANTA FE LIMITADA SUCURSAL NICARAGUA CONSTRUCTORA SANTA FE</t>
  </si>
  <si>
    <t>CONSTRUMARKET DE NICARAGUA SA CONSTRUMARKET</t>
  </si>
  <si>
    <t>CONVENCION BAUTISTA DE NICARAGUA. CONVENCION BAUTISTA DE NICARAGUA.</t>
  </si>
  <si>
    <t>COOP DE AHORRO Y CRED Y SERV MULT GRUPO TIP TOP COMEGTT</t>
  </si>
  <si>
    <t>COOP MULTIFUNCIONAL DE PRODUCTORES EXP DE CAFE S J R C RL PROCAFE RL</t>
  </si>
  <si>
    <t>COOP SERVICIOS MULT JGA PROD RIQUEZAS DE LA TIERRA R L RIQUEZASCOOP R L</t>
  </si>
  <si>
    <t>COOP. AGROPECUARIA DE SERVICIOS STO.TOMAS R.L COOPERATIVA AGROPECUARIA</t>
  </si>
  <si>
    <t>COOP. DE PRODUCTORES AGROPECUARIOS DE MULUKUKU COPAM R.L</t>
  </si>
  <si>
    <t>COOP. DE SERV. Y CRED. PARA LA PROD. AGROP. MASIGUITO R.L. COOPERATIVA MASIGUITO</t>
  </si>
  <si>
    <t>COOP.DE SERV. AGROP. DELICIAS DEL CAMPO DE SANTO DOMINGO R.L. COOSERVA RL</t>
  </si>
  <si>
    <t>COOP.MULT.CHONTALAC DE SAN PEDRO LOVAGO R.L COOP.MULT.CHONTALAC DE SAN PEDRO LOVAGO R.L</t>
  </si>
  <si>
    <t>COOPERATIVA MULTISECTORIAL SEMILLAS Y ESPERANZA DEL NORTE R.L ESPERANZA COOP R.L.</t>
  </si>
  <si>
    <t>CORP CEFA DE NIC S A CEFA DE NIC</t>
  </si>
  <si>
    <t>CORP.DE SUPERMERCADOS UNIDOS DE NICARAGUA S A CORP. DE SUPERMERCADOS C.S.U</t>
  </si>
  <si>
    <t>CORPORACION AGRICOLA S,A. AGRI CORP</t>
  </si>
  <si>
    <t>CORPORACION BANCENTRO SOCIEDAD ANONIMA CORPORACION BANCENTRO SOCIEDAD ANONIMA</t>
  </si>
  <si>
    <t>CORPORACION DE ZONAS FRANCAS CORPORACION DE ZONAS FRANCAS</t>
  </si>
  <si>
    <t>CORPORACION ELECTRICA NICARAGUENSE, SOCIEDAD ANONI</t>
  </si>
  <si>
    <t>CORPORACION FINANCIERA SOCIEDAD ANONIMA CREDI FACIL</t>
  </si>
  <si>
    <t>CORPORACION MONTELIMAR SOCIEDAD ANONIMA Página 4 CORPORACION MONTELIMAR S.A.</t>
  </si>
  <si>
    <t>CORPORACION PARA LA PROMOCION Y DESARROLLO CORP PRODESA</t>
  </si>
  <si>
    <t>CREDITO SOCIEDAD ANONIMA CREDOMATIC</t>
  </si>
  <si>
    <t>CRUZ LORENA EXPORTACION IMPORTACION S.A. CRUZ LORENA S.A</t>
  </si>
  <si>
    <t>CRUZ Y MEDAL Y COMPAÑIA LIMITADA CRUZ Y MEDAL CIA. LTDA.</t>
  </si>
  <si>
    <t>CUBAS ELECTRICA S.A CUBAS ELECTRICA S.A</t>
  </si>
  <si>
    <t>CUKRA DEVELOPMENT CORPORATION , S.A CUKRA</t>
  </si>
  <si>
    <t>CUKRA INDUSTRIAL, SOCIEDAD ANONIMA CUKRA</t>
  </si>
  <si>
    <t>DELI POLLO SOCIEDAD ANONIMA DELI POLLO</t>
  </si>
  <si>
    <t>DESARROLLO MINERO DE NICARAGUA S.A. DESMINIC</t>
  </si>
  <si>
    <t>DESHON COMPAÑIA LIMITADA AUTO MONTOYA</t>
  </si>
  <si>
    <t>D'GUERRERO INGENIEROS,S.A. D'GUERRERO INGENIEROS S A</t>
  </si>
  <si>
    <t>DHL GLOBAL FORWARDING NICARAGUA S.A DHL GLOBAL FORWARDING NICARAGUA S.A</t>
  </si>
  <si>
    <t>DHL NICARAGUA SOCIEDAD ANONIMA D. H. L.</t>
  </si>
  <si>
    <t>DIANCA SOCIEDAD ANONIMA DIANCA S A</t>
  </si>
  <si>
    <t>DINANT DE NICARAGUA SOCIEDAD ANONIMA DINANT</t>
  </si>
  <si>
    <t>DISTRIB DE MATERIALES, S.A. DIDEMA S A SHERWIN WILLIAMS</t>
  </si>
  <si>
    <t>DISTRIBUCIONES AGROALFA,S.A. AGROALFA, S.A.</t>
  </si>
  <si>
    <t>DISTRIBUIDORA CENTRAL SOCIEDAD ANONIMA. DISTRIBUIDORA CENTRAL S.A</t>
  </si>
  <si>
    <t>DISTRIBUIDORA CESAR GUERRERO LEJARZA ,S,A. DICEGSA</t>
  </si>
  <si>
    <t>DISTRIBUIDORA COMERCIAL CORSARIO S A CORSARIO S A</t>
  </si>
  <si>
    <t>DISTRIBUIDORA CONTINENTE S.A CONTESA</t>
  </si>
  <si>
    <t>DISTRIBUIDORA CRUZ AZUL S,A DISTRIBUIDORA CRUZ AZUL S,A</t>
  </si>
  <si>
    <t>DISTRIBUIDORA DE ELECTRICIDAD DEL SUR S.A DISSUR</t>
  </si>
  <si>
    <t>DISTRIBUIDORA DE GRANOS DE NICARAGUA S.A DIGRANISA</t>
  </si>
  <si>
    <t>DISTRIBUIDORA DE PRODUCTOS FARMACEUTICOS DISPROFAR Y CIA LTDA.</t>
  </si>
  <si>
    <t>DISTRIBUIDORA DEL CAMPO S A DISCAMPO</t>
  </si>
  <si>
    <t>DISTRIBUIDORA DEL CARIBE DE NIC,S.A. DICNISA</t>
  </si>
  <si>
    <t>DISTRIBUIDORA DELGADO SOCIEDAD ANONIMA DISTRIBUIDORA DELGADO SOCIEDAD ANOMIMA</t>
  </si>
  <si>
    <t>DISTRIBUIDORA EL GIGANTE SOCIEDAD ANONIMA</t>
  </si>
  <si>
    <t>DISTRIBUIDORA INTERNACIONAL MEDWELL NICARAGUA S.A MEDWELL</t>
  </si>
  <si>
    <t>DISTRIBUIDORA INTERNACIONAL SOCIEDAD ANONIMA DIINSA</t>
  </si>
  <si>
    <t>DISTRIBUIDORA MANAGUA SOCIEDAD ANONIMA. DISTRIBUIDORA MANAGUA S.A.</t>
  </si>
  <si>
    <t>DISTRIBUIDORA NACIONAL SOCIEDAD ANONIMA DINSA</t>
  </si>
  <si>
    <t>DISTRIBUIDORA NICAFAR, SOCIEDAD ANONIMA NICAFAR S A</t>
  </si>
  <si>
    <t>DISTRIBUIDORA PANZYMA, SOCIEDAD ANONIMA.</t>
  </si>
  <si>
    <t>DISTRIBUIDORA PLUTON SOCIEDAD ANONIMA Página 5 DISTRIBUIDORA PLUTON S.A</t>
  </si>
  <si>
    <t>DISTRIBUIDORES DEL PACIFICO SOCIEDAD ANONIMA DISPACSA</t>
  </si>
  <si>
    <t>DIVECO NICARAGUA SOCIEDAD ANONIMA DIVECO NICARAGUA S.A</t>
  </si>
  <si>
    <t>DROGUERIA ROCHA SOCIEDAD ANONIMA DROROSA</t>
  </si>
  <si>
    <t>DURMAN ESQUIVEL INDUSTRIAL DE NICARAGUA,S.A. DURMAN</t>
  </si>
  <si>
    <t>DUWEST NICARAGUA S.A DUWEST NIC S A</t>
  </si>
  <si>
    <t>EDT NICARAGUA S A EDT NIC.</t>
  </si>
  <si>
    <t>EFRAIN ALEXIS DE LA CRUZ Y COMPAÑIA LIMITADA NEW CENTURY CED CIA LTDA</t>
  </si>
  <si>
    <t>EL COLONO AGROPECUARIO SOCIEDAD ANONIMA E C A S A</t>
  </si>
  <si>
    <t>EL VIGILANTE S A EMPRESA PRIVADA DE VIGILANCIA</t>
  </si>
  <si>
    <t>ELECTROQUIMICA DE NICARAGUA,S.A ELQUINSA</t>
  </si>
  <si>
    <t>EMBOTELLADORA NACIONAL S A ENSA</t>
  </si>
  <si>
    <t>EMP DE COMUNICACIONES S A ECAMI</t>
  </si>
  <si>
    <t>EMP P EL APOYO Y DESARR DE LA MICRO Y PEQ EMP URB Y RUR S A MICREDITO SA</t>
  </si>
  <si>
    <t>EMP.INTEGRAL DE LA CONSTRUCCION MANUEL ESCOBAR P.</t>
  </si>
  <si>
    <t>EMPAQUES SANTO DOMINGO S.A. EMPAQUES SANTO DOMINGO S.A</t>
  </si>
  <si>
    <t>EMPRESA CONSTRUCTORA LAS SEGOVIAS E.M.C.O.S.E.</t>
  </si>
  <si>
    <t>EMPRESA DE SERVICIOS DE SEGURIDAD PRIVADA S.A SEGURIDAD C Y B Y DISELNIC</t>
  </si>
  <si>
    <t>EMPRESA ENERGETICA CORINTO COMPAÑIA LIMITADA EMPRESA ENERGETICA CORINTO COMPAÑIA LTDA</t>
  </si>
  <si>
    <t>EMPRESA GENERADORA DE ENERGIA RENOVABLE DE RIVAS, SOCIEDAD ANONIMA</t>
  </si>
  <si>
    <t>EMPRESA NICARAGUENSE DE CONSTRUCCIONES E N I C</t>
  </si>
  <si>
    <t>EMPRESA NICARAGUENSE DE IMPORTACIONES Y EXPORTACIONES ENIMEX</t>
  </si>
  <si>
    <t>EMPRESA NICARAGUENSE DE TELECOMUNICACIONES S.A. ENITEL SOCIEDAD ANONIMA</t>
  </si>
  <si>
    <t>EMPRESA NICARAGUENSE DEL PETROLEO PETRONIC</t>
  </si>
  <si>
    <t>EMPRESA PROPIETARIA DE LA RED SOCIEDAD ANONIMA E.P.R</t>
  </si>
  <si>
    <t>EOLO DE NICARAGUA SOCIEDAD ANONIMA EOLO NIC. S.A</t>
  </si>
  <si>
    <t>EQUIPOS Y SISTEMAS SOCIEDAD ANONIMA. EQUIPOS Y SISTEMAS S.A.</t>
  </si>
  <si>
    <t>ERICSSON A B ERICSSON AB</t>
  </si>
  <si>
    <t>ERNESTO CHAMORRO INDUSTRIAL,SOCIEDAD ANONIMA ECISA</t>
  </si>
  <si>
    <t>ESCALANTE SANCHEZ ALVARADO,S.A ESCASAN S.A</t>
  </si>
  <si>
    <t>ESPINOZA INGENIEROS SOCIEDAD ANONIMA ESINSA</t>
  </si>
  <si>
    <t>ESTACIONES TERRENAS DE SATELITES SOCIEDAD ANONIMA ESTESA S.A.</t>
  </si>
  <si>
    <t>EURO, SOCIEDAD ANONIMA EURO, S.A</t>
  </si>
  <si>
    <t>EUROTIENDAS DE NIC. S,A EUROTIENDAS DE NIC. S,A</t>
  </si>
  <si>
    <t>EXPLOTEC SOCIEDAD ANONIMA EXPLOTEC S A</t>
  </si>
  <si>
    <t>EXPORTADORA ATLANTIC SOCIEDAD ANONIMA Página 6 EXPORTADORA ATLANTIC S.A.</t>
  </si>
  <si>
    <t>EXPORTADORA DE METALES SOCIEDAD ANONIMA</t>
  </si>
  <si>
    <t>EXPORTADORA E IMPORTADORA ALIANZA, SOCIEDAD ANONIMA EXIMALSA</t>
  </si>
  <si>
    <t>EXPORTADORA PANAMERICANA NORTE, SOCIEDAD ANONIMA EXPORTADORA PANAMERICANA NORTE, S.A</t>
  </si>
  <si>
    <t>FARMACEUTICOS Y CONEXOS SOCIEDAD ANONIMA FARCOSA</t>
  </si>
  <si>
    <t>FARMACIAS EUROPEAS S.A FARMA VALUE</t>
  </si>
  <si>
    <t>FARMACIAS SABA SOCIEDAD ANONIMA FARMACIAS SABA S A</t>
  </si>
  <si>
    <t>FARMADESCUENTO, S.A FARMADESCUENTO</t>
  </si>
  <si>
    <t>FERNANDO BALLADARES C. SUCESORES Y CIA LTDA INDIAN TRANSPORTES</t>
  </si>
  <si>
    <t>FERRETERIA JENNY, S.A. FERRETERIA JENNY, S.A.</t>
  </si>
  <si>
    <t>FERRETERIA RICHARDSON SOCIEDAD ANONIMA FERRETERIA RICHARDSON S.A.</t>
  </si>
  <si>
    <t>FERRETERIA TECNICA,SOCIEDAD ANONIMA FETESA</t>
  </si>
  <si>
    <t>FERROMAX SOCIEDAD ANONIMA FERROMAX S.A.</t>
  </si>
  <si>
    <t>FERTICA DE NICARAGUA SOCIEDAD ANONIMA FERTICA DE NICARAGUA SOCIEDAD ANONIMA</t>
  </si>
  <si>
    <t>FID, SOCIEDAD ANONIMA FID, S.A</t>
  </si>
  <si>
    <t>FINANCIERA FAMA SOCIEDAD ANONIMA. FINANCIERA FAMA</t>
  </si>
  <si>
    <t>FINANCIERA FONDO DE DESARROLLO LOCAL S,A FDL S,A</t>
  </si>
  <si>
    <t>FRANCISCO JAVIER GARMENDIA CALERO SURTIDORA DEL NORTE</t>
  </si>
  <si>
    <t>FRUTALES DEL SAN JUAN S.A. FRUTAN</t>
  </si>
  <si>
    <t>FUNDENUSE SOCIEDAD ANONIMA FUNDENUSE SOCIEDAD ANONIMA</t>
  </si>
  <si>
    <t>G4S SECURE SOLUTIONS NICARAGUA SOCIEDAD ANONIMA</t>
  </si>
  <si>
    <t>GANADERIA INTEGRAL NICARAGUA SOCIEDAD ANONIMA GINSA</t>
  </si>
  <si>
    <t>GBM DE NICARAGUA SOCIEDAD ANONIMA GBM DE NICARAGUA S A</t>
  </si>
  <si>
    <t>GENERADORA ELECTRICA OCCIDENTAL S.A. GEOSA</t>
  </si>
  <si>
    <t>GENERAL IMPORT SOCIEDAD ANONIMA GENERAL IMPORT S.A</t>
  </si>
  <si>
    <t>GENERIC PHARMA GP SA GENERIC PHARMA</t>
  </si>
  <si>
    <t>GEORGINA NORMA RUEDA MEDINA FARMACIA MERIDIONAL LA BARATERA</t>
  </si>
  <si>
    <t>GLOBAL BRANDS NICARAGUA S.A. GLOBAL BRANDS</t>
  </si>
  <si>
    <t>GLOBAL SUPPLY DE NICARAGUA, SOCIEDAD ANONIMA GLOBAL SUPPLY DE NICARAGUA</t>
  </si>
  <si>
    <t>GLOBEX SOCIEDAD ANONIMA. GLOBEX S.A.</t>
  </si>
  <si>
    <t>GMG COMERCIAL NICARAGUA,SOCIEDAD ANONIMA. GMG COMERCIAL NICARAGUA S.A.</t>
  </si>
  <si>
    <t>GMG SERVICIOS NICARAGUA S,A GMG SERVICIOS NICARAGUA</t>
  </si>
  <si>
    <t>GONZALEZ PEREIRA SOCIEDAD ANONIMA GONPER LIBRERIAS</t>
  </si>
  <si>
    <t>GRUPO ALIMENTICIO SOCIEDAD ANONIMA GRALSA</t>
  </si>
  <si>
    <t>GRUPO INDUSTRIAL EL GRANJERO SOCIEDAD ANONIMA GRUPO INDUSTRIAL EL GRANJERO S.A</t>
  </si>
  <si>
    <t>GRUPO MARAZUL,SOCIEDAD ANONIMA. GRUPO MARAZUL S.A.</t>
  </si>
  <si>
    <t>GRUPO MEGA SOCIEDAD ANONIMA Página 7 MEGABOUTIQUE</t>
  </si>
  <si>
    <t>GRUPO Q NICARAGUA SOCIEDAD ANONIMA GRUPO Q NICARAGUA S.A.</t>
  </si>
  <si>
    <t>GRUPO UMA, SOCIEDAD ANONIMA GRUPO UMA</t>
  </si>
  <si>
    <t>GSQ NICARAGUA, SOCIEDAD ANONIMA PINTURAS SUR</t>
  </si>
  <si>
    <t>GTM NICARAGUA SOCIEDAD ANONIMA GTM NICARAGUA</t>
  </si>
  <si>
    <t>HARINERA AGROINDUSTRIAL DE NICARAGUA S.A. HARINISA</t>
  </si>
  <si>
    <t>HEMCO NICARAGUA, SOCIEDAD ANONIMA HEMCO NICARAGUA, S.A.</t>
  </si>
  <si>
    <t>HERNANDEZ HERNANDEZ EXPORT Y COMPAÑIA LIMITADA HERNANDEZ HERNANDEZ EXPORT Y CIA LTDA</t>
  </si>
  <si>
    <t>HIDROPANTASMA,S.A. HIPSA.</t>
  </si>
  <si>
    <t>HOLCIM NICARAGUA SOCIEDAD ANONIMA HOLCIM NICARAGUA S.A.</t>
  </si>
  <si>
    <t>HOTEL MONTELIMAR,SOCIEDAD ANONIMA HOTEL MONTELIMAR S.A.</t>
  </si>
  <si>
    <t>IMPORTACIONES DE SARDINAS, ATUNES Y CARAMELOS S.A. ISAC, S.A.</t>
  </si>
  <si>
    <t>IMPORTACIONES FARMACEUTICAS S.A IMFARSA</t>
  </si>
  <si>
    <t>IMPORTACIONES PUERTO PAIZ SOCIEDAD ANONIMA IMPPASA</t>
  </si>
  <si>
    <t>IMPORTADORA DISTRIBUIDORA OCAL S.A. OCAL S A</t>
  </si>
  <si>
    <t>INAUTO DE NICARAGUA S.A INAUTO S.A</t>
  </si>
  <si>
    <t>IND.CERAMICA CENTROAMERICANA SOCIEDAD ANONIMA INCESA STANDARD</t>
  </si>
  <si>
    <t>INDUSTRIA CENTRO AMERICANA S.A INCASA</t>
  </si>
  <si>
    <t>INDUSTRIA GEMINA SOCIEDAD ANONIMA GEMINA</t>
  </si>
  <si>
    <t>INDUSTRIA METAL MECANICA S A IMMSA</t>
  </si>
  <si>
    <t>INDUSTRIA NACIONAL DE REFRESCOS SOCIEDAD ANONIMA. COCA COLA</t>
  </si>
  <si>
    <t>INDUSTRIA NICARAGUENSE DE DERIVADOS GRASOS S.A INDEGRASA</t>
  </si>
  <si>
    <t>INDUSTRIA SAN FRANCISCO, SOCIEDAD ANONIMA. I.S.F. S.A</t>
  </si>
  <si>
    <t>INDUSTRIAL COMERCIAL SAN MARTIN,SOCIEDAD ANONIMA INDUSTRIAL COMERCIAL SAN MARTIN, S.A.</t>
  </si>
  <si>
    <t>INDUSTRIAS ACEITERAS, SOCIEDAD ANONIMA.</t>
  </si>
  <si>
    <t>INDUSTRIAS CARNICAS INTEGRADAS DE NICARAGUA S.A. INDUSTRIAS CARNICAS</t>
  </si>
  <si>
    <t>INDUSTRIAS DELMOR S A DELMOR,S.A</t>
  </si>
  <si>
    <t>INDUSTRIAS FATIMA,SOCIEDAD ANONIMA INDUSTRIAS FATIMA S.A.</t>
  </si>
  <si>
    <t>INDUSTRIAS MAGAÑA L SOCIEDAD ANONIMA INDUSTRIAS MAGAÑA L SOCIEDAD ANONIMA</t>
  </si>
  <si>
    <t>INKIA NICARAGUA SOCIEDAD ANONIMA INKIA NICARAGUA S. A.</t>
  </si>
  <si>
    <t>INMOBILIARIA SANTO DOMINGO,SOCIEDAD ANONIMA GALERIA SANTO DOMINGO</t>
  </si>
  <si>
    <t>INMUEBLES DIANO MARINA,SOCIEDAD ANONIMA. INDIMASA</t>
  </si>
  <si>
    <t>INSECTICIDAS SAN CRISTOBAL S.A. INSECTICIDAS SAN CRISTOBAL S.A.</t>
  </si>
  <si>
    <t>INSTACREDIT SOCIEDAD ANONIMA INSTACREDIT S.A</t>
  </si>
  <si>
    <t>INVERSIONES ARROCERAS SOCIEDAD ANONIMA INAROSA</t>
  </si>
  <si>
    <t>INVERSIONES BURSEY WYSS S.A. I . B. W.</t>
  </si>
  <si>
    <t>INVERSIONES FRESCAMAR SOCIEDAD ANONIMA Página 8 INVERSIONES FRESCAMAR S.A.</t>
  </si>
  <si>
    <t>INVERSIONES LA ESTRELLA SOCIEDAD ANONIMA LA ESTRELLA S.A.</t>
  </si>
  <si>
    <t>INVERSIONES LAMA NICARAGUA,SOCIEDAD ANONIMA. PIZZA HUT</t>
  </si>
  <si>
    <t>INVERSIONES SECOYA, SOCIEDAD ANONIMA INVERSIONES SECOYA, S.A.</t>
  </si>
  <si>
    <t>INVERSIONES Y DESARROLLOS COMERCIALES S A INDECO, S A</t>
  </si>
  <si>
    <t>INVERSIONES Y NEGOCIOS DE NICARAGUA,S.A. INDENICSA</t>
  </si>
  <si>
    <t>INVERSIONES Y NEGOCIOS NICARAGUENSES S.A INENIC S.A</t>
  </si>
  <si>
    <t>INVERSIONES Y PRODUCTOS DE CENTROAMERICA, SOCIEDAD ANONIMA INPROCEAMERICA</t>
  </si>
  <si>
    <t>JAIME LANUZA CERRATO Y XIOMARA GUADALUPE GONZALEZ Y COMPAÑÍA LIMITADA</t>
  </si>
  <si>
    <t>JAVIER GADEA ZELEDON AGROJGZ</t>
  </si>
  <si>
    <t>JINNAH FARROUCK SIRKER POLANCO UNO PAKISTAN</t>
  </si>
  <si>
    <t>JOHN HEAD, SISTEMAS CONSTRUCTIVOS Y EQUIPOS,S.A. JOHN HEAD,S.A.</t>
  </si>
  <si>
    <t>JOSE DANIEL CRUZ LOPEZ IMPORTACION Y EXPORTACION</t>
  </si>
  <si>
    <t>JUAN ALBERTO CAJINA MARTINEZ MATERIALES DE CONSTRUCCION EL HALCON</t>
  </si>
  <si>
    <t>JUAN Y MIRIAM FAMILY COFFEE SOCIEAD ANONIMA</t>
  </si>
  <si>
    <t>JULIO MARTINEZ,REPUESTOS,S.A. JULIO MARTINEZ,REPUESTOS,S.A.</t>
  </si>
  <si>
    <t>KIELSA FARMACEUTICA NICARAGUA SOCIEDAD ANONIMA KIELSA</t>
  </si>
  <si>
    <t>KIPESA, SOCIEDAD ANONIMA KIPESA S.A.</t>
  </si>
  <si>
    <t>KLUANE NICARAGUA SOCIEDAD ANONIMA KLUANE NICARAGUA SA</t>
  </si>
  <si>
    <t>KOLA SHALER INDUSTRIAL SOCIEDAD ANONIMA KOLA SHALER S,A.</t>
  </si>
  <si>
    <t>KOREA NICARAGUA SOCIEDAD ANONIMA KOREA NICARAGUA SOCIEDAD ANONIMA</t>
  </si>
  <si>
    <t>KOREAN CABLE SOCIEDAD ANONIMA KOCASA</t>
  </si>
  <si>
    <t>LA MONTAÑA S.A. LA MONTAÑA S.A</t>
  </si>
  <si>
    <t>LA PALETA SOCIEDAD ANONIMA PALETA,S.A</t>
  </si>
  <si>
    <t>LABORATORIOS CEGUEL S.A CEGUEL</t>
  </si>
  <si>
    <t>LABORATORIOS QUIMICO FARMACEUTICOS LANCASCO S.A LANCASCO S.A.</t>
  </si>
  <si>
    <t>LABORATORIOS RAMOS, S.A. LABORATORIOS RAMOS</t>
  </si>
  <si>
    <t>LACTEOS , SOCIEDAD ANONIMA LACTEOSSA</t>
  </si>
  <si>
    <t>LACTEOS CENTROAMERICANOS SOCIEDAD ANONIMA CENTROLAC S,A</t>
  </si>
  <si>
    <t>LACTEOS JMJ COMERCIAL,SOCIEDAD ANONIMA LACTEOS JMJ COMERCIAL S.A</t>
  </si>
  <si>
    <t>LALA NICARAGUA, SOCIEDAD ANONIMA LALA NICARAGUA</t>
  </si>
  <si>
    <t>LANCO NICARAGUA SOCIEDAD ANONIMA LANCO NICARAGUA S A</t>
  </si>
  <si>
    <t>LETERAGO S.A LETERAGO</t>
  </si>
  <si>
    <t>LGB NICARAGUA SOCIEDAD ANONIMA LGB NICARAGUA S A</t>
  </si>
  <si>
    <t>LIBRERIA HISPANOAMERICANA, S.A. HISPAMER, S.A.</t>
  </si>
  <si>
    <t>LIBRERIA Y DISTRIBUIDORA JARDIN S A Página 9 LYDIJA S.A.</t>
  </si>
  <si>
    <t>LOS PAISAS, S.A. LOS PAISAS SA</t>
  </si>
  <si>
    <t>LUBRICANTES DE NICARAGUA, S.A. LUBNICA</t>
  </si>
  <si>
    <t>LUCALZA NICARAGUA, SOCIEDAD ANONIMA LUCALZA S.A.</t>
  </si>
  <si>
    <t>LUDWIG PFEIFFER HOCH UND TIEFBAU GMBH Y CO.KG SUCURSAL NICARAGUA</t>
  </si>
  <si>
    <t>MAGNA S A MAGNA S A</t>
  </si>
  <si>
    <t>MAKIBER SOCIEDAD ANONIMA MAKIBER S,A</t>
  </si>
  <si>
    <t>MANPOWER DE NICARAGUA SOCIEDAD ANONIMA MANPOWER,S.A.</t>
  </si>
  <si>
    <t>MAPFRE SEGUROS NICARAGUA SOCIEDAD ANONIMA MAPFRE SEGUROS NICARAGUA S.A</t>
  </si>
  <si>
    <t>MAQUINARIA H.F CROSS S.A CASA CROSS</t>
  </si>
  <si>
    <t>MAQUINARIA Y EQUIPOS,SOCIEDAD ANONIMA. MAQUIPOS,S.A.</t>
  </si>
  <si>
    <t>MARIA ALEJANDRA BALDIZON ARAUZ IMPORTACIONES Y EXPORTACIONES BALDIZON</t>
  </si>
  <si>
    <t>MARINA DE GUACALITO S.A. MAGUASA S.A.</t>
  </si>
  <si>
    <t>MARISCOS PROCESADOS SOCIEDAD ANONIMA CAMPRESA S.A.</t>
  </si>
  <si>
    <t>MASTER CONSTRUCTION SOCIEDAD ANONIMA MC S.A</t>
  </si>
  <si>
    <t>MATADERO CACIQUE SOCIEDAD ANONIMA MATADERO CACIQUE S.A</t>
  </si>
  <si>
    <t>MATADERO CENTRAL SOCIEDAD ANONIMA</t>
  </si>
  <si>
    <t>MAURICIO JOSE MARTINICA OSORIO MAURICIO JOSE MARTINICA</t>
  </si>
  <si>
    <t>MAYACERO DE NICARAGUA SA MAYACERO SA</t>
  </si>
  <si>
    <t>MAYOREO DEL NORTE BRAVO Y BRENES S.A MAYON B Y B S A</t>
  </si>
  <si>
    <t>MCDONALD'S SISTEMA DE NICARAGUA SOCIEDAD ANONIMA MCDONALD'S</t>
  </si>
  <si>
    <t>MEDITERRANEAN SHIPPING CO NICARAGUA, S.A. MSC DE NICARAGUA</t>
  </si>
  <si>
    <t>MELONES DE NICARAGUA SOCIEDAD ANONIMA MELONICSA</t>
  </si>
  <si>
    <t>MERCADEO CENTROAMERICANO DE LUBRICANTES S A MERCALSA</t>
  </si>
  <si>
    <t>MERCANTIL DE COMERCIO NICARAGUENSE, S.A. MERCONICA S A</t>
  </si>
  <si>
    <t>METALES NICARAGUENSES SOCIEDAD ANONIMA METALNIC S.A</t>
  </si>
  <si>
    <t>MEXICHEM NICARAGUA SOCIEDAD ANONIMA MEXICHEM SA</t>
  </si>
  <si>
    <t>MICROFINANCIERA FUNDESER SOCIEDAD ANONIMA MICROFINANCIERA FUNDESER</t>
  </si>
  <si>
    <t>MIGUEL ANGEL BENITEZ GUEVARA LACTEOS NUEVA GUINEA</t>
  </si>
  <si>
    <t>MOFE, SOCIEDAD ANONIMA MOFESA</t>
  </si>
  <si>
    <t>MOLINOS DE NIC S A M O N I S A</t>
  </si>
  <si>
    <t>MOMENTUM DEVELOPMENT, SOCIEDAD ANONIMA LAS PALMAS CASINO</t>
  </si>
  <si>
    <t>MOMOTOMBO POWER COMPANY MOMOTOMBO POWER COMPANY</t>
  </si>
  <si>
    <t>MONDELEZ NICARAGUA SOCIEDAD ANONIMA MONDELEZ NICARAGUA S.A.</t>
  </si>
  <si>
    <t>MONTE ROSA, SOCIEDAD ANONIMA. MONTE ROSA, S.A.</t>
  </si>
  <si>
    <t>MORA VIJIL SOCIEDAD ANONIMA Página 10 MOVI S A</t>
  </si>
  <si>
    <t>MOTOKING INTERNATIONAL S A M.I.S.A</t>
  </si>
  <si>
    <t>MULTIPERFILES SOCIEDAD ANONIMA MULTIPERFILES</t>
  </si>
  <si>
    <t>MURIEL HERRERA DE CALERO ESSO LAS MARIAS</t>
  </si>
  <si>
    <t>NACEL DE NICARAGUA SOCIEDAD ANONIMA NACEL DE NICARAGUA S A</t>
  </si>
  <si>
    <t>NEO ETHICALS,S.A NEO ETHICALS, S.A</t>
  </si>
  <si>
    <t>NESTLE NICARAGUA S A NESTLE S.A</t>
  </si>
  <si>
    <t>NEWCOM NICARAGUA,SOCIEDAD ANONIMA NEWCOM NICARAGUA,S.A.</t>
  </si>
  <si>
    <t>NICA BEEF PACKERS, SOCIEDAD ANONIMA NICA BEEF PACKERS,SOCIEDAD ANONIMA</t>
  </si>
  <si>
    <t>NICA TRADING COMPANY SOCIEDAD ANONIMA NICA TRANDING COMPANY S.A.</t>
  </si>
  <si>
    <t>NICARAGUA MACHINERY COMPANY NIMAC</t>
  </si>
  <si>
    <t>NICARAGUA SUGAR ESTATES LIMITED INGENIO SAN ANTONIO</t>
  </si>
  <si>
    <t>NICARAGUAN TILAPIA S A NICALAPIA S A</t>
  </si>
  <si>
    <t>NILAC SOCIEDAD ANONIMA NILAC, S.A.</t>
  </si>
  <si>
    <t>NIPRO MEDICAL CORPORATION NIPRO MEDICAL CORPORATION</t>
  </si>
  <si>
    <t>NORTH ATLANTIC FISHING COMPANY SOCIEDAD ANONIMA NAFCOSA</t>
  </si>
  <si>
    <t>NOVATERRA SOCIEDAD ANONIMA NOVATERRA S.A.</t>
  </si>
  <si>
    <t>NUEVO CARNIC SOCIEDAD ANONIMA. CARNIC S A</t>
  </si>
  <si>
    <t>NUEVO HOSPITAL MONTE ESPANA S.A NUEVO HOSPITAL MONTE ESPANA S.A</t>
  </si>
  <si>
    <t>OBRAS DE INGENIERIA SOCIEDAD ANONIMA OBRINSA</t>
  </si>
  <si>
    <t>OCEANICA INTERNACIONAL SOCIEDAD ANONIMA OCEANICA INTERNACIONAL S.A</t>
  </si>
  <si>
    <t>OLAM NICARAGUA SOCIEDAD ANONIMA OLAM</t>
  </si>
  <si>
    <t>ORIFLAME DE NICARAGUA SOCIEDAD ANONIMA ORIFLAME S.A.</t>
  </si>
  <si>
    <t>PACIFIC SEAFOODS DE NICARAGUA SOCIEDAD ANONIMA PASENIC S A</t>
  </si>
  <si>
    <t>PALMARES DEL CASTILLO, SOCIEDAD ANONIMA PALCASA</t>
  </si>
  <si>
    <t>PAPELERA LATINOAMERICANA DE NICARAGUA,S.A PAPELERA LATINOAMERICANA DE NICARAGUA,S.A</t>
  </si>
  <si>
    <t>PAYLESS SHOESOURCE LIMITADA Y CIA LTDA PAYLESS SHOESOURCE</t>
  </si>
  <si>
    <t>PETROLEOS LATINOAMERICANOS, SOCIEDAD ANONIMA PETROLAT</t>
  </si>
  <si>
    <t>PHILIP MORRIS NICARAGUA S A PHILIP MORRIS NICARAGUA S A</t>
  </si>
  <si>
    <t>PINTURA MODELO S.A PINTURA MODELO</t>
  </si>
  <si>
    <t>PIONERA MAQUILADORA TEXTIL S A PIMATEX S A</t>
  </si>
  <si>
    <t>PLANTEL LOS ANGELES SOCIEDAD ANONIMA PLANTEL LOS ANGELES S A</t>
  </si>
  <si>
    <t>POLARIS ENERGY NICARAGUA SOCIEDAD ANONIMA POLARIS ENERGY NICARAGUA S A</t>
  </si>
  <si>
    <t>PRAGA CORPORACION SOCIEDAD ANONIMA FARMACIAS PRAGA PRAGA CORPORACION S.A</t>
  </si>
  <si>
    <t>PRD TRADING SOCIEDAD ANONIMA PRD TRADING, S.A.</t>
  </si>
  <si>
    <t>PRETENSADO NICARAGUENSE SOCIEDAD ANONIMA PRENIC S.A</t>
  </si>
  <si>
    <t>PRO MUJER, NICARAGUA, LLC. PRO MUJER NICARAGUA LLC.</t>
  </si>
  <si>
    <t>PRODUCTIVE BUSINESS SOLUTIONS NICARAGUA S.A. PBS NICARAGUA S.A.</t>
  </si>
  <si>
    <t>PRODUCTORA DE PLASTICOS SOCIEDAD ANONIMA PRODUCTORA DE PLASTICOS S,A</t>
  </si>
  <si>
    <t>PRODUCTOS AVON DE NICARAGUA SOCIEDAD ANONIMA AVON DE NICARAGUA</t>
  </si>
  <si>
    <t>PRODUCTOS DEL AIRE DE NICARAGUA SOCIEDAD ANONIMA PRODUCTOS DEL AIRE DE NICARAGUA S A</t>
  </si>
  <si>
    <t>PRODUCTOS FORESTALES Y AGROPECUARIOS, S.A. PROFYSA</t>
  </si>
  <si>
    <t>PRODUCTOS INDUSTRIALES DE CONCRETO, S.A PROINCO, S.A</t>
  </si>
  <si>
    <t>PRODUCTOS LACTEOS MATIGUAS Y COMPAÑIA LIMITADA PRODUCTOS LACTEOS MATIGUAS Y COMPAÑIA LIMITADA</t>
  </si>
  <si>
    <t>PROFESIONALES DE LA CONSTRUCCION S.A DE C.V PRODECON S.A DE C.V</t>
  </si>
  <si>
    <t>PROGRAMA PRIVADO DE ATENCION MEDICA ESPECIALIZADA PAME S.A</t>
  </si>
  <si>
    <t>PROHARINA SOCIEDAD ANONIMA PROHARINA S.A .</t>
  </si>
  <si>
    <t>PSMT NICARAGUA SOCIEDAD ANONIMA PRICESMART</t>
  </si>
  <si>
    <t>PUERTO CABEZA POWER SOCIEDAD ANONIMA. PUERTO CABEZA POWER S.A.</t>
  </si>
  <si>
    <t>PUMA ENERGY BAHAMAS, S.A PUMA</t>
  </si>
  <si>
    <t>PUNTO IDEAL SOCIEDAD ANONIMA PUNTO IDEAL S.A.</t>
  </si>
  <si>
    <t>PUSCHENDORF, CO. LTDA PUSCHENDORF, CO. LTDA</t>
  </si>
  <si>
    <t>QUATTROAGRO SOCIEDAD ANONIMA QUATTROAGRO S.A.</t>
  </si>
  <si>
    <t>RAM INTERNACIONAL S A RAMSA</t>
  </si>
  <si>
    <t>RAPICOMER SOCIEDAD ANONIMA</t>
  </si>
  <si>
    <t>RAPPACCIOLI MCGREGOR, SOCIEDAD ANONIMA RAMAC</t>
  </si>
  <si>
    <t>REPRESENTACIONES FARMACEUTICAS DE NICARAGUA,S.A. REFANIC S.A</t>
  </si>
  <si>
    <t>REPUESTOS MANAGUA SOCIEDAD ANONIMA REMASA</t>
  </si>
  <si>
    <t>RITTER SPORT NICARAGUA SOCIEDAD ANONIMA RITTER SPORT NICARAGUA S.A</t>
  </si>
  <si>
    <t>RIVER GOLD SOCIEDAD ANONIMA ORO DE RIO</t>
  </si>
  <si>
    <t>ROBERTO ALEJANDRO BLANDON GUTIERREZ ROBERTO ALEJANDRO BLANDON GUTIERREZ</t>
  </si>
  <si>
    <t>RODIO SWISSBORING NICARAGUA SOCIEDAD ANONIMA RODIO SWISSBORING</t>
  </si>
  <si>
    <t>SACOS DE NICARAGUA SOCIEDAD ANONIMA SACOS MACEN</t>
  </si>
  <si>
    <t>SACOS DEL CAMPO,SOCIEDAD ANONIMA SACOS DEL CAMPO S.A</t>
  </si>
  <si>
    <t>SAGSA DISAGRO SOCIEDAD ANONIMA SAGSA</t>
  </si>
  <si>
    <t>SAHLMAN SEAFOODS OF NICARAGUA,SOCIEDAD ANONIMA. SAHLMAN SEAFOODS OF NICARAGUA S,A.</t>
  </si>
  <si>
    <t>SAJONIA ESTATE COFFEE, SOCIEDAD ANONIMA SAJONIA COFFEE</t>
  </si>
  <si>
    <t>SALUD INTEGRAL S.A HOSPITAL SALUD INTEGRAL S.A.</t>
  </si>
  <si>
    <t>SAMUEL MANSELL SOCIEDAD ANONIMA</t>
  </si>
  <si>
    <t>SAN JOSE, SOCIEDAD ANONIMA SAN JOSE S,A</t>
  </si>
  <si>
    <t>SAN MIGUEL INDUSTRIAS NICARAGUA SOCIEDAD ANONIMA Página 12 SMI NICARAGUA S.A.</t>
  </si>
  <si>
    <t>SBA TORRES NICARAGUA SOCIEDAD ANONIMA SBA TORRES NICARAGUA S A</t>
  </si>
  <si>
    <t>SEAFOOD, INTERNATIONAL COMPANY SOCIEDAD ANONIMA SEAFOOD, S.A.</t>
  </si>
  <si>
    <t>SEGURIDAD DELTA SOCIEDAD ANONIMA DELTA SA</t>
  </si>
  <si>
    <t>SEGUROS LAFISE SOCIEDAD ANONIMA SEGUROS LAFISE</t>
  </si>
  <si>
    <t>SEMILLAS ACUATICAS SOCIEDAD ANONIMA SEMILLAS ACUATICAS S.A</t>
  </si>
  <si>
    <t>SERVICIO DE VIGILANCIA Y PROTECCION,S,A. SERVIPRO S.A</t>
  </si>
  <si>
    <t>SERVICIOS DE CONSTRUCCION E INGENERIA SOCIEDAD ANONIMA SERCONISA</t>
  </si>
  <si>
    <t>SERVICIOS DIVERSOS DE RECURSOS HUMANOS S.A SERVICIOS DIVERSOS DE RECURSOS HUMANOS S.A</t>
  </si>
  <si>
    <t>SERVICIOS ELECTRICOS PROFESIONALES S.A. SEPSA</t>
  </si>
  <si>
    <t>SERVICIOS INDUSTRIALES AUTOMOTRICES, S.A. SIASA</t>
  </si>
  <si>
    <t>SERVICIOS MEDICOS ESPECIALIZADOS S.A SERMESA</t>
  </si>
  <si>
    <t>SERVICIOS PROFESIONALES E IMPORTACIONES S,A SERPROIM S,A</t>
  </si>
  <si>
    <t>SEVA SOCIEDAD ANONIMA SEVASA</t>
  </si>
  <si>
    <t>SIGMA ALIMENTOS NICARAGUA, SOCIEDAD ANONIMA SIGMA NICARAGUA,S.A</t>
  </si>
  <si>
    <t>SILVA INTERNACIONAL SOCIEDAD ANONIMA. S I N S A</t>
  </si>
  <si>
    <t>SISTEMAS MODERNOS DE CONSTRUCCION DE NIC S A COPERCO DE NICARAGUA S A</t>
  </si>
  <si>
    <t>SOLUCIONES SEGURAS SOCIEDAD ANONIMA SOLSESA</t>
  </si>
  <si>
    <t>SOLUCIONES VIALES, SOCIEDAD ANONIMA SOVIALSA</t>
  </si>
  <si>
    <t>SUNLINE INTERNACIONAL, SOC. ANONIMA O SINTER, S.A. SINTER, S.A</t>
  </si>
  <si>
    <t>SUPER FARMACIA XOLOTLAN SOCIEDAD ANONIMA FARMACIAS XOLOTLAN S,A.</t>
  </si>
  <si>
    <t>TABACALERA CUBANA NICARAGUENSE SOCIEDAD ANONIMA T A C U N I S A</t>
  </si>
  <si>
    <t>TABACOS CUBANICA SOCIEDAD ANONIMA TACUNISA</t>
  </si>
  <si>
    <t>TABACOS DE ORIENTE DE NICARAGUA SA TABACOS DE ORIENTE DE NICARAGUA SA</t>
  </si>
  <si>
    <t>TABACOS VALLE DE JALAPA SOCIEDAD ANONIMA TABACOS VALLE DE JALAPA</t>
  </si>
  <si>
    <t>TACA INTERNATIONAL AIRLINES SOCIEDAD ANONIMA. TACA</t>
  </si>
  <si>
    <t>TARGET PUBLICIDAD SOCIEDAD ANONIMA TARGET</t>
  </si>
  <si>
    <t>TECNASA NICARAGUA SOCIEDAD ANONIMA TECNASA NICARAGUA S.A.</t>
  </si>
  <si>
    <t>TECNOLOGIA COMPUTARIZADA SOCIEDAD ANONIMA. COMTECH S.A</t>
  </si>
  <si>
    <t>TELEFONIA CELULAR DE NICARAGUA SOCIEDAD ANONIMA TIGO</t>
  </si>
  <si>
    <t>TERAN INTERNATIONAL SOCIEDAD ANONIMA CASA TERAN</t>
  </si>
  <si>
    <t>TERMOENCOGIBLES DE NICARAGUA SOCIEDAD ANONIMA TERMOENCOGIBLES</t>
  </si>
  <si>
    <t>TERNIUM INTERNACIONAL NICARAGUA SOCIEDAD ANONIMA TERNIUM S.A</t>
  </si>
  <si>
    <t>TIJERINO ESPINOZA SOCIEDAD ANONIMA TIENSA</t>
  </si>
  <si>
    <t>TIPITAPA POWER COMPANY LIMITADA TIPITAPA POWER CIA LTDA</t>
  </si>
  <si>
    <t>TOLA DEVELOPMENT GROUP, LLC, COMPAÑIA LIMITADA TOLA DEVELOPMENT GROUP, LLC, COMPAÑIA LIMITADA</t>
  </si>
  <si>
    <t>TORRECOM PARTNERS LLC Y COMPAÑIA LIMITADA TORRECOM</t>
  </si>
  <si>
    <t>TORTIMASA, SOCIEDAD ANONIMA TORTIMASA</t>
  </si>
  <si>
    <t>TRANSPORTE TICAL ,S.A. TICAL,S.A.</t>
  </si>
  <si>
    <t>TRANSPORTE Y CONSTRUCCION SINAI, SOCIEDAD ANONIMA SINAI S,A</t>
  </si>
  <si>
    <t>TRANSPORTES CENTROAMERICANOS NICARAGUA INC.,SOCIEDAD ANONIMA TCF NICARAGUA</t>
  </si>
  <si>
    <t>TRANSPORTES HERNANDEZ S A TRANHESA</t>
  </si>
  <si>
    <t>TRITON MINERA SOCIEDAD ANONIMA TRITON MINERA S.A</t>
  </si>
  <si>
    <t>TROPIGAS DE NIC S A TROPIGAS</t>
  </si>
  <si>
    <t>UFINET NICARAGUA SOCIEDAD ANONIMA UFINET</t>
  </si>
  <si>
    <t>ULTRA DE NICARAGUA,SOCIEDAD ANONIMA ULTRANIC</t>
  </si>
  <si>
    <t>ULTRA VALORES DE NICARAGUA, S.A ULTRAVAL, S.A</t>
  </si>
  <si>
    <t>UNICOSERVI SOCIEDAD ANONIMA UNICOSERVI LOCO LUIS TROPIGAS CURACAO CETECO</t>
  </si>
  <si>
    <t>UNILEVER DE CENTROAMERICA SOCIEDAD ANONIMA UNILEVER DE CENTROAMERICA S.A.</t>
  </si>
  <si>
    <t>UNIMAR SOCIEDAD ANONIMA UNIMAR, S.A</t>
  </si>
  <si>
    <t>UNION COMERCIAL DE NICARAGUA S A CURACAO TROPIGAS LOCO LUIS</t>
  </si>
  <si>
    <t>UNION DE COOP AGROP DE SERV SOPPEXCCA R L UCA SOPPEXCCA R L</t>
  </si>
  <si>
    <t>UNION DE COOPERATIVAS AGROPECUARIAS SAN JUAN RIO COCO R.L</t>
  </si>
  <si>
    <t>UNITED PARCEL SERVICE CO. UPSCO</t>
  </si>
  <si>
    <t>UNIVERSAL MARKETING ASSOCIATES SOCIEDAD ANONIMA UNIMARK S.A.</t>
  </si>
  <si>
    <t>UNO NICARAGUA SOCIEDAD ANONIMA UNO NICARAGUA S A</t>
  </si>
  <si>
    <t>UNO PETROLEOS DE NICARAGUA Y COMPAÑIA COLECTIVA DE RESPONSABILIDAD LIMITADA</t>
  </si>
  <si>
    <t>URBANIZACIONES MODERNAS, SOCIEDAD ANONIMA URMOSA</t>
  </si>
  <si>
    <t>VAMED ENGINEERING GMBH, SUCURSAL NICARGUA VAMED ENGINEERING, SUCURSAL NICARGUA</t>
  </si>
  <si>
    <t>VANGUARD SECURITY SOCIEDAD ANONIMA VANGUARD SECURITY S A</t>
  </si>
  <si>
    <t>VEHICULOS DE ORIENTE SOCIEDAD ANONIMA VELOSA S.A.</t>
  </si>
  <si>
    <t>VIVIENDAS ECONOMICAS DE NICARAGUA SOCIEDAD ANONIMA VIENICSA</t>
  </si>
  <si>
    <t>WAPI INDUSTRIAL, SOCIEDAD ANONIMA WAPI INDUSTRIAL S.A.</t>
  </si>
  <si>
    <t>XINWEI INTELCOM. NIC SOCIEDAD ANONIMA XINWEI</t>
  </si>
  <si>
    <t>ZERMAT DE NICARAGUA SOCIEDAD ANONIMA ZERMAT S A</t>
  </si>
  <si>
    <t>ZETA GAS NICARAGUA SOCIEDAD ANONIMA. ZETA GAS NICARAGUA SOCIEDAD ANONIMA</t>
  </si>
  <si>
    <t>NOMBRE</t>
  </si>
  <si>
    <t>DIRECCIÓN</t>
  </si>
  <si>
    <t>CIUDAD</t>
  </si>
  <si>
    <t>MANAGUA</t>
  </si>
  <si>
    <t>MASAYA</t>
  </si>
  <si>
    <t>CARAZO</t>
  </si>
  <si>
    <t>RIVAS</t>
  </si>
  <si>
    <t>ESTELÍ</t>
  </si>
  <si>
    <t>LEÓN</t>
  </si>
  <si>
    <t>CHINANDEGA</t>
  </si>
  <si>
    <t>CORINTO</t>
  </si>
  <si>
    <t>TELÉFONO</t>
  </si>
  <si>
    <t>1234-5678</t>
  </si>
  <si>
    <t>YADER MARTÍNEZ S.A.</t>
  </si>
  <si>
    <t>Soluciones Informáticas</t>
  </si>
  <si>
    <t>Clic para buscar un cliente</t>
  </si>
  <si>
    <t>AN001</t>
  </si>
  <si>
    <t>Anillo Duna plata</t>
  </si>
  <si>
    <t>AN002</t>
  </si>
  <si>
    <t>Anillo Venus plata</t>
  </si>
  <si>
    <t>AN003</t>
  </si>
  <si>
    <t>Anillo Marte oro</t>
  </si>
  <si>
    <t>AN004</t>
  </si>
  <si>
    <t>Anillo Bera oro</t>
  </si>
  <si>
    <t>PU001</t>
  </si>
  <si>
    <t>Pulsera Rubic plata</t>
  </si>
  <si>
    <t>PU002</t>
  </si>
  <si>
    <t>Pulsera Rubic oro</t>
  </si>
  <si>
    <t>PU003</t>
  </si>
  <si>
    <t>Pulsera Classic oro rosa</t>
  </si>
  <si>
    <t>PU004</t>
  </si>
  <si>
    <t>Pulsera Classic plata</t>
  </si>
  <si>
    <t>PE001</t>
  </si>
  <si>
    <t>Pendientes Rubic plata</t>
  </si>
  <si>
    <t>PE002</t>
  </si>
  <si>
    <t>Pendientes Camee vermeil</t>
  </si>
  <si>
    <t>PE003</t>
  </si>
  <si>
    <t>Pendientes Idol oro rosa</t>
  </si>
  <si>
    <t>PE004</t>
  </si>
  <si>
    <t>Pendientes Perla plata</t>
  </si>
  <si>
    <t>AN005</t>
  </si>
  <si>
    <t>Anillo Cielo plata</t>
  </si>
  <si>
    <t>AN006</t>
  </si>
  <si>
    <t>Anillo Tierra plata</t>
  </si>
  <si>
    <t>AN007</t>
  </si>
  <si>
    <t>Anillo Mar oro</t>
  </si>
  <si>
    <t>AN008</t>
  </si>
  <si>
    <t>Anillo Aire oro</t>
  </si>
  <si>
    <t>CÓDIGO</t>
  </si>
  <si>
    <t>PRODUCTO</t>
  </si>
  <si>
    <t>Click en el signo + para agregar un producto</t>
  </si>
  <si>
    <t>PRECIO</t>
  </si>
  <si>
    <t>[Managua, Nicaragua, 505]</t>
  </si>
  <si>
    <t>Teléfono: [8888-8888]</t>
  </si>
  <si>
    <t>CANT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</si>
</sst>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6" formatCode="&quot;C$&quot;#,##0.00"/>
  </numFmts>
  <fonts count="11" x14ac:knownFonts="1">
    <font>
      <sz val="10"/>
      <name val="Trebuchet MS"/>
      <family val="2"/>
    </font>
    <font>
      <b/>
      <sz val="10"/>
      <name val="Trebuchet MS"/>
      <family val="2"/>
    </font>
    <font>
      <sz val="16"/>
      <name val="Trebuchet MS"/>
      <family val="2"/>
    </font>
    <font>
      <b/>
      <sz val="10"/>
      <color indexed="9"/>
      <name val="Trebuchet MS"/>
      <family val="2"/>
    </font>
    <font>
      <b/>
      <i/>
      <sz val="12"/>
      <name val="Trebuchet MS"/>
      <family val="2"/>
    </font>
    <font>
      <sz val="8"/>
      <name val="Trebuchet MS"/>
      <family val="2"/>
    </font>
    <font>
      <b/>
      <sz val="28"/>
      <color indexed="52"/>
      <name val="Trebuchet MS"/>
      <family val="2"/>
    </font>
    <font>
      <sz val="10"/>
      <color indexed="9"/>
      <name val="Trebuchet MS"/>
      <family val="2"/>
    </font>
    <font>
      <sz val="8"/>
      <name val="Trebuchet MS"/>
    </font>
    <font>
      <sz val="10"/>
      <name val="Trebuchet MS"/>
      <family val="2"/>
    </font>
    <font>
      <sz val="10"/>
      <color rgb="FFFF0000"/>
      <name val="Trebuchet MS"/>
      <family val="2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/>
      <right/>
      <top/>
      <bottom style="thin">
        <color indexed="2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44">
    <xf numFmtId="0" fontId="0" fillId="0" borderId="0" xfId="0"/>
    <xf numFmtId="0" fontId="1" fillId="0" borderId="0" xfId="0" applyFont="1"/>
    <xf numFmtId="164" fontId="0" fillId="2" borderId="0" xfId="0" applyNumberFormat="1" applyFill="1"/>
    <xf numFmtId="0" fontId="3" fillId="3" borderId="0" xfId="0" applyFont="1" applyFill="1" applyBorder="1" applyAlignment="1">
      <alignment horizontal="center"/>
    </xf>
    <xf numFmtId="164" fontId="1" fillId="2" borderId="0" xfId="0" applyNumberFormat="1" applyFont="1" applyFill="1"/>
    <xf numFmtId="0" fontId="1" fillId="0" borderId="0" xfId="0" applyFont="1" applyFill="1" applyAlignment="1">
      <alignment horizontal="left"/>
    </xf>
    <xf numFmtId="0" fontId="3" fillId="3" borderId="1" xfId="0" applyFont="1" applyFill="1" applyBorder="1" applyAlignment="1">
      <alignment horizontal="left"/>
    </xf>
    <xf numFmtId="0" fontId="7" fillId="0" borderId="0" xfId="0" applyFont="1"/>
    <xf numFmtId="0" fontId="0" fillId="0" borderId="0" xfId="0" applyProtection="1">
      <protection locked="0"/>
    </xf>
    <xf numFmtId="14" fontId="0" fillId="2" borderId="0" xfId="0" applyNumberFormat="1" applyFill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164" fontId="0" fillId="0" borderId="5" xfId="0" applyNumberFormat="1" applyFill="1" applyBorder="1" applyProtection="1">
      <protection locked="0"/>
    </xf>
    <xf numFmtId="0" fontId="8" fillId="0" borderId="0" xfId="0" applyFont="1"/>
    <xf numFmtId="0" fontId="8" fillId="0" borderId="5" xfId="0" applyFont="1" applyBorder="1"/>
    <xf numFmtId="0" fontId="3" fillId="3" borderId="0" xfId="0" applyFont="1" applyFill="1" applyBorder="1" applyAlignment="1">
      <alignment horizontal="center"/>
    </xf>
    <xf numFmtId="0" fontId="10" fillId="0" borderId="0" xfId="0" applyFont="1"/>
    <xf numFmtId="166" fontId="0" fillId="2" borderId="0" xfId="0" applyNumberFormat="1" applyFill="1"/>
    <xf numFmtId="9" fontId="0" fillId="0" borderId="0" xfId="1" applyNumberFormat="1" applyFont="1" applyBorder="1" applyProtection="1">
      <protection locked="0"/>
    </xf>
    <xf numFmtId="0" fontId="0" fillId="0" borderId="6" xfId="0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0" fillId="0" borderId="13" xfId="0" applyBorder="1" applyAlignment="1" applyProtection="1">
      <protection locked="0"/>
    </xf>
    <xf numFmtId="0" fontId="0" fillId="0" borderId="1" xfId="0" applyBorder="1" applyAlignment="1" applyProtection="1">
      <protection locked="0"/>
    </xf>
    <xf numFmtId="0" fontId="0" fillId="0" borderId="3" xfId="0" applyBorder="1" applyAlignment="1" applyProtection="1">
      <protection locked="0"/>
    </xf>
    <xf numFmtId="0" fontId="0" fillId="0" borderId="4" xfId="0" applyBorder="1" applyAlignment="1" applyProtection="1">
      <protection locked="0"/>
    </xf>
    <xf numFmtId="0" fontId="3" fillId="3" borderId="0" xfId="0" applyFont="1" applyFill="1" applyBorder="1" applyAlignment="1">
      <alignment horizontal="centerContinuous"/>
    </xf>
    <xf numFmtId="0" fontId="0" fillId="0" borderId="7" xfId="0" applyBorder="1" applyAlignment="1" applyProtection="1">
      <alignment horizontal="left" vertical="top"/>
      <protection locked="0"/>
    </xf>
    <xf numFmtId="0" fontId="0" fillId="0" borderId="8" xfId="0" applyBorder="1" applyAlignment="1" applyProtection="1">
      <alignment horizontal="left" vertical="top"/>
      <protection locked="0"/>
    </xf>
    <xf numFmtId="0" fontId="0" fillId="0" borderId="9" xfId="0" applyBorder="1" applyAlignment="1" applyProtection="1">
      <alignment horizontal="left" vertical="top"/>
      <protection locked="0"/>
    </xf>
    <xf numFmtId="0" fontId="0" fillId="0" borderId="10" xfId="0" applyBorder="1" applyAlignment="1" applyProtection="1">
      <alignment horizontal="left" vertical="top"/>
      <protection locked="0"/>
    </xf>
    <xf numFmtId="0" fontId="0" fillId="0" borderId="0" xfId="0" applyBorder="1" applyAlignment="1" applyProtection="1">
      <alignment horizontal="left" vertical="top"/>
      <protection locked="0"/>
    </xf>
    <xf numFmtId="0" fontId="0" fillId="0" borderId="11" xfId="0" applyBorder="1" applyAlignment="1" applyProtection="1">
      <alignment horizontal="left" vertical="top"/>
      <protection locked="0"/>
    </xf>
    <xf numFmtId="0" fontId="0" fillId="0" borderId="14" xfId="0" applyBorder="1" applyAlignment="1" applyProtection="1">
      <alignment horizontal="left" vertical="top"/>
      <protection locked="0"/>
    </xf>
    <xf numFmtId="0" fontId="0" fillId="0" borderId="12" xfId="0" applyBorder="1" applyAlignment="1" applyProtection="1">
      <alignment horizontal="left" vertical="top"/>
      <protection locked="0"/>
    </xf>
    <xf numFmtId="0" fontId="0" fillId="0" borderId="15" xfId="0" applyBorder="1" applyAlignment="1" applyProtection="1">
      <alignment horizontal="left" vertical="top"/>
      <protection locked="0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1" fillId="0" borderId="0" xfId="0" applyFont="1" applyAlignment="1" applyProtection="1">
      <alignment horizontal="center" vertical="top"/>
      <protection locked="0"/>
    </xf>
    <xf numFmtId="0" fontId="6" fillId="0" borderId="0" xfId="0" applyFont="1" applyAlignment="1">
      <alignment horizontal="right"/>
    </xf>
    <xf numFmtId="0" fontId="2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" fillId="4" borderId="12" xfId="0" applyFont="1" applyFill="1" applyBorder="1" applyAlignment="1">
      <alignment horizontal="left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F0F0F0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695325</xdr:colOff>
      <xdr:row>6</xdr:row>
      <xdr:rowOff>0</xdr:rowOff>
    </xdr:from>
    <xdr:ext cx="1647825" cy="1647825"/>
    <xdr:pic>
      <xdr:nvPicPr>
        <xdr:cNvPr id="3" name="image1.png" title="Image">
          <a:extLst>
            <a:ext uri="{FF2B5EF4-FFF2-40B4-BE49-F238E27FC236}">
              <a16:creationId xmlns:a16="http://schemas.microsoft.com/office/drawing/2014/main" id="{FFC898B1-9E4B-41E1-8C27-F464D553CEE5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166472" y="1538008"/>
          <a:ext cx="1647825" cy="164782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2</xdr:col>
      <xdr:colOff>76612</xdr:colOff>
      <xdr:row>6</xdr:row>
      <xdr:rowOff>173935</xdr:rowOff>
    </xdr:from>
    <xdr:to>
      <xdr:col>2</xdr:col>
      <xdr:colOff>291918</xdr:colOff>
      <xdr:row>8</xdr:row>
      <xdr:rowOff>10767</xdr:rowOff>
    </xdr:to>
    <xdr:pic macro="[0]!BuscarClientes">
      <xdr:nvPicPr>
        <xdr:cNvPr id="2" name="Imagen 1">
          <a:extLst>
            <a:ext uri="{FF2B5EF4-FFF2-40B4-BE49-F238E27FC236}">
              <a16:creationId xmlns:a16="http://schemas.microsoft.com/office/drawing/2014/main" id="{F6CC5800-BF69-4D86-BF21-457D9D2B9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71503" y="1581978"/>
          <a:ext cx="215306" cy="217832"/>
        </a:xfrm>
        <a:prstGeom prst="rect">
          <a:avLst/>
        </a:prstGeom>
      </xdr:spPr>
    </xdr:pic>
    <xdr:clientData/>
  </xdr:twoCellAnchor>
  <xdr:twoCellAnchor editAs="oneCell">
    <xdr:from>
      <xdr:col>0</xdr:col>
      <xdr:colOff>57979</xdr:colOff>
      <xdr:row>14</xdr:row>
      <xdr:rowOff>173936</xdr:rowOff>
    </xdr:from>
    <xdr:to>
      <xdr:col>0</xdr:col>
      <xdr:colOff>273326</xdr:colOff>
      <xdr:row>16</xdr:row>
      <xdr:rowOff>8283</xdr:rowOff>
    </xdr:to>
    <xdr:pic macro="[0]!BuscarProductos">
      <xdr:nvPicPr>
        <xdr:cNvPr id="4" name="Imagen 3">
          <a:extLst>
            <a:ext uri="{FF2B5EF4-FFF2-40B4-BE49-F238E27FC236}">
              <a16:creationId xmlns:a16="http://schemas.microsoft.com/office/drawing/2014/main" id="{196E12D1-935B-4AD1-A8FE-24FB48B92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979" y="3105979"/>
          <a:ext cx="215347" cy="21534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G44"/>
  <sheetViews>
    <sheetView showGridLines="0" tabSelected="1" zoomScale="115" zoomScaleNormal="115" workbookViewId="0">
      <selection activeCell="F16" sqref="F16"/>
    </sheetView>
  </sheetViews>
  <sheetFormatPr baseColWidth="10" defaultColWidth="9" defaultRowHeight="15" x14ac:dyDescent="0.3"/>
  <cols>
    <col min="1" max="1" width="5.140625" customWidth="1"/>
    <col min="2" max="2" width="27.85546875" customWidth="1"/>
    <col min="3" max="3" width="5.140625" customWidth="1"/>
    <col min="4" max="4" width="26" customWidth="1"/>
    <col min="5" max="5" width="5.7109375" customWidth="1"/>
    <col min="6" max="6" width="15.85546875" customWidth="1"/>
    <col min="7" max="7" width="14.85546875" customWidth="1"/>
    <col min="8" max="8" width="9" customWidth="1"/>
  </cols>
  <sheetData>
    <row r="1" spans="2:7" ht="36" x14ac:dyDescent="0.55000000000000004">
      <c r="B1" s="41" t="s">
        <v>1013</v>
      </c>
      <c r="C1" s="41"/>
      <c r="D1" s="41"/>
      <c r="E1" s="40" t="s">
        <v>4</v>
      </c>
      <c r="F1" s="40"/>
      <c r="G1" s="40"/>
    </row>
    <row r="2" spans="2:7" x14ac:dyDescent="0.3">
      <c r="B2" s="42" t="s">
        <v>1014</v>
      </c>
      <c r="C2" s="42"/>
      <c r="D2" s="42"/>
      <c r="F2" s="5" t="s">
        <v>18</v>
      </c>
      <c r="G2" s="9">
        <f ca="1">TODAY()</f>
        <v>44733</v>
      </c>
    </row>
    <row r="3" spans="2:7" x14ac:dyDescent="0.3">
      <c r="F3" s="5" t="s">
        <v>21</v>
      </c>
      <c r="G3" s="10" t="s">
        <v>2</v>
      </c>
    </row>
    <row r="4" spans="2:7" x14ac:dyDescent="0.3">
      <c r="B4" s="8" t="s">
        <v>5</v>
      </c>
      <c r="F4" s="1" t="s">
        <v>7</v>
      </c>
      <c r="G4" s="10">
        <f ca="1">MATCH(B9,busc_cliente,0)</f>
        <v>25</v>
      </c>
    </row>
    <row r="5" spans="2:7" x14ac:dyDescent="0.3">
      <c r="B5" s="8" t="s">
        <v>1052</v>
      </c>
    </row>
    <row r="6" spans="2:7" x14ac:dyDescent="0.3">
      <c r="B6" s="8" t="s">
        <v>1053</v>
      </c>
    </row>
    <row r="8" spans="2:7" ht="15" customHeight="1" x14ac:dyDescent="0.3">
      <c r="B8" s="6" t="s">
        <v>9</v>
      </c>
      <c r="D8" s="15" t="s">
        <v>1015</v>
      </c>
    </row>
    <row r="9" spans="2:7" x14ac:dyDescent="0.3">
      <c r="B9" s="8" t="s">
        <v>48</v>
      </c>
    </row>
    <row r="10" spans="2:7" x14ac:dyDescent="0.3">
      <c r="B10" s="8" t="str">
        <f ca="1">VLOOKUP($B$9,clientes,2,FALSE)</f>
        <v>ALMACENES SIMAN SOCIEDAD ANONIMA SIMAN S.A.</v>
      </c>
    </row>
    <row r="11" spans="2:7" x14ac:dyDescent="0.3">
      <c r="B11" s="8" t="str">
        <f ca="1">VLOOKUP($B$9,clientes,3,FALSE)</f>
        <v>DIRECCIÓN CLIENTE 25</v>
      </c>
    </row>
    <row r="12" spans="2:7" x14ac:dyDescent="0.3">
      <c r="B12" s="8" t="str">
        <f ca="1">VLOOKUP($B$9,clientes,4,FALSE)</f>
        <v>MANAGUA</v>
      </c>
    </row>
    <row r="13" spans="2:7" x14ac:dyDescent="0.3">
      <c r="B13" s="8" t="str">
        <f ca="1">VLOOKUP($B$9,clientes,5,FALSE)</f>
        <v>1234-5678</v>
      </c>
    </row>
    <row r="14" spans="2:7" x14ac:dyDescent="0.3">
      <c r="B14" s="15" t="s">
        <v>1050</v>
      </c>
    </row>
    <row r="15" spans="2:7" ht="15" customHeight="1" x14ac:dyDescent="0.3">
      <c r="B15" s="24" t="s">
        <v>6</v>
      </c>
      <c r="C15" s="24"/>
      <c r="D15" s="24"/>
      <c r="E15" s="24" t="s">
        <v>1054</v>
      </c>
      <c r="F15" s="14" t="s">
        <v>1051</v>
      </c>
      <c r="G15" s="3" t="s">
        <v>0</v>
      </c>
    </row>
    <row r="16" spans="2:7" x14ac:dyDescent="0.3">
      <c r="B16" s="18"/>
      <c r="C16" s="19"/>
      <c r="D16" s="19"/>
      <c r="E16" s="22"/>
      <c r="F16" s="22" t="str">
        <f>IF(B16&lt;&gt;"",VLOOKUP(B16,productos,3),"")</f>
        <v/>
      </c>
      <c r="G16" s="22" t="str">
        <f>IF(B16&lt;&gt;"",E16*F16,"")</f>
        <v/>
      </c>
    </row>
    <row r="17" spans="2:7" x14ac:dyDescent="0.3">
      <c r="B17" s="18"/>
      <c r="C17" s="19"/>
      <c r="D17" s="19"/>
      <c r="E17" s="22"/>
      <c r="F17" s="22" t="str">
        <f>IF(B17&lt;&gt;"",VLOOKUP(B17,productos,3),"")</f>
        <v/>
      </c>
      <c r="G17" s="22" t="str">
        <f t="shared" ref="G17:G30" si="0">IF(B17&lt;&gt;"",E17*F17,"")</f>
        <v/>
      </c>
    </row>
    <row r="18" spans="2:7" x14ac:dyDescent="0.3">
      <c r="B18" s="18"/>
      <c r="C18" s="19"/>
      <c r="D18" s="19"/>
      <c r="E18" s="22"/>
      <c r="F18" s="22" t="str">
        <f>IF(B18&lt;&gt;"",VLOOKUP(B18,productos,3),"")</f>
        <v/>
      </c>
      <c r="G18" s="22" t="str">
        <f t="shared" si="0"/>
        <v/>
      </c>
    </row>
    <row r="19" spans="2:7" x14ac:dyDescent="0.3">
      <c r="B19" s="18"/>
      <c r="C19" s="19"/>
      <c r="D19" s="19"/>
      <c r="E19" s="22"/>
      <c r="F19" s="22" t="str">
        <f>IF(B19&lt;&gt;"",VLOOKUP(B19,productos,3),"")</f>
        <v/>
      </c>
      <c r="G19" s="22" t="str">
        <f t="shared" si="0"/>
        <v/>
      </c>
    </row>
    <row r="20" spans="2:7" x14ac:dyDescent="0.3">
      <c r="B20" s="18"/>
      <c r="C20" s="19"/>
      <c r="D20" s="19"/>
      <c r="E20" s="22"/>
      <c r="F20" s="22" t="str">
        <f>IF(B20&lt;&gt;"",VLOOKUP(B20,productos,3),"")</f>
        <v/>
      </c>
      <c r="G20" s="22" t="str">
        <f t="shared" si="0"/>
        <v/>
      </c>
    </row>
    <row r="21" spans="2:7" x14ac:dyDescent="0.3">
      <c r="B21" s="18"/>
      <c r="C21" s="19"/>
      <c r="D21" s="19"/>
      <c r="E21" s="22"/>
      <c r="F21" s="22" t="str">
        <f>IF(B21&lt;&gt;"",VLOOKUP(B21,productos,3),"")</f>
        <v/>
      </c>
      <c r="G21" s="22" t="str">
        <f t="shared" si="0"/>
        <v/>
      </c>
    </row>
    <row r="22" spans="2:7" x14ac:dyDescent="0.3">
      <c r="B22" s="18"/>
      <c r="C22" s="19"/>
      <c r="D22" s="19"/>
      <c r="E22" s="22"/>
      <c r="F22" s="22" t="str">
        <f>IF(B22&lt;&gt;"",VLOOKUP(B22,productos,3),"")</f>
        <v/>
      </c>
      <c r="G22" s="22" t="str">
        <f t="shared" si="0"/>
        <v/>
      </c>
    </row>
    <row r="23" spans="2:7" x14ac:dyDescent="0.3">
      <c r="B23" s="18"/>
      <c r="C23" s="19"/>
      <c r="D23" s="19"/>
      <c r="E23" s="22"/>
      <c r="F23" s="22" t="str">
        <f>IF(B23&lt;&gt;"",VLOOKUP(B23,productos,3),"")</f>
        <v/>
      </c>
      <c r="G23" s="22" t="str">
        <f t="shared" si="0"/>
        <v/>
      </c>
    </row>
    <row r="24" spans="2:7" x14ac:dyDescent="0.3">
      <c r="B24" s="18"/>
      <c r="C24" s="19"/>
      <c r="D24" s="19"/>
      <c r="E24" s="22"/>
      <c r="F24" s="22" t="str">
        <f>IF(B24&lt;&gt;"",VLOOKUP(B24,productos,3),"")</f>
        <v/>
      </c>
      <c r="G24" s="22" t="str">
        <f t="shared" si="0"/>
        <v/>
      </c>
    </row>
    <row r="25" spans="2:7" x14ac:dyDescent="0.3">
      <c r="B25" s="18"/>
      <c r="C25" s="19"/>
      <c r="D25" s="19"/>
      <c r="E25" s="22"/>
      <c r="F25" s="22" t="str">
        <f>IF(B25&lt;&gt;"",VLOOKUP(B25,productos,3),"")</f>
        <v/>
      </c>
      <c r="G25" s="22" t="str">
        <f t="shared" si="0"/>
        <v/>
      </c>
    </row>
    <row r="26" spans="2:7" x14ac:dyDescent="0.3">
      <c r="B26" s="18"/>
      <c r="C26" s="19"/>
      <c r="D26" s="19"/>
      <c r="E26" s="22"/>
      <c r="F26" s="22" t="str">
        <f>IF(B26&lt;&gt;"",VLOOKUP(B26,productos,3),"")</f>
        <v/>
      </c>
      <c r="G26" s="22" t="str">
        <f t="shared" si="0"/>
        <v/>
      </c>
    </row>
    <row r="27" spans="2:7" x14ac:dyDescent="0.3">
      <c r="B27" s="18"/>
      <c r="C27" s="19"/>
      <c r="D27" s="19"/>
      <c r="E27" s="22"/>
      <c r="F27" s="22" t="str">
        <f>IF(B27&lt;&gt;"",VLOOKUP(B27,productos,3),"")</f>
        <v/>
      </c>
      <c r="G27" s="22" t="str">
        <f t="shared" si="0"/>
        <v/>
      </c>
    </row>
    <row r="28" spans="2:7" x14ac:dyDescent="0.3">
      <c r="B28" s="18"/>
      <c r="C28" s="19"/>
      <c r="D28" s="19"/>
      <c r="E28" s="22"/>
      <c r="F28" s="22" t="str">
        <f>IF(B28&lt;&gt;"",VLOOKUP(B28,productos,3),"")</f>
        <v/>
      </c>
      <c r="G28" s="22" t="str">
        <f t="shared" si="0"/>
        <v/>
      </c>
    </row>
    <row r="29" spans="2:7" x14ac:dyDescent="0.3">
      <c r="B29" s="18"/>
      <c r="C29" s="19"/>
      <c r="D29" s="19"/>
      <c r="E29" s="22"/>
      <c r="F29" s="22" t="str">
        <f>IF(B29&lt;&gt;"",VLOOKUP(B29,productos,3),"")</f>
        <v/>
      </c>
      <c r="G29" s="22" t="str">
        <f t="shared" si="0"/>
        <v/>
      </c>
    </row>
    <row r="30" spans="2:7" x14ac:dyDescent="0.3">
      <c r="B30" s="20"/>
      <c r="C30" s="21"/>
      <c r="D30" s="21"/>
      <c r="E30" s="23"/>
      <c r="F30" s="23" t="str">
        <f>IF(B30&lt;&gt;"",VLOOKUP(B30,productos,3),"")</f>
        <v/>
      </c>
      <c r="G30" s="23" t="str">
        <f t="shared" si="0"/>
        <v/>
      </c>
    </row>
    <row r="31" spans="2:7" x14ac:dyDescent="0.3">
      <c r="E31" s="7" t="s">
        <v>3</v>
      </c>
      <c r="F31" s="12" t="s">
        <v>1</v>
      </c>
      <c r="G31" s="16">
        <f>SUM(G16:G30)</f>
        <v>0</v>
      </c>
    </row>
    <row r="32" spans="2:7" x14ac:dyDescent="0.3">
      <c r="B32" s="43" t="s">
        <v>8</v>
      </c>
      <c r="C32" s="43"/>
      <c r="D32" s="43"/>
      <c r="F32" s="12" t="s">
        <v>16</v>
      </c>
      <c r="G32" s="17">
        <v>0.15</v>
      </c>
    </row>
    <row r="33" spans="2:7" x14ac:dyDescent="0.3">
      <c r="B33" s="25" t="s">
        <v>11</v>
      </c>
      <c r="C33" s="26"/>
      <c r="D33" s="27"/>
      <c r="F33" s="12" t="s">
        <v>15</v>
      </c>
      <c r="G33" s="2">
        <f>G32*G31</f>
        <v>0</v>
      </c>
    </row>
    <row r="34" spans="2:7" ht="15.75" thickBot="1" x14ac:dyDescent="0.35">
      <c r="B34" s="28" t="s">
        <v>12</v>
      </c>
      <c r="C34" s="29"/>
      <c r="D34" s="30"/>
      <c r="F34" s="13" t="s">
        <v>17</v>
      </c>
      <c r="G34" s="11">
        <v>0</v>
      </c>
    </row>
    <row r="35" spans="2:7" ht="15.75" thickTop="1" x14ac:dyDescent="0.3">
      <c r="B35" s="28"/>
      <c r="C35" s="29"/>
      <c r="D35" s="30"/>
      <c r="F35" s="1" t="s">
        <v>0</v>
      </c>
      <c r="G35" s="4">
        <f>G31+G33+G34</f>
        <v>0</v>
      </c>
    </row>
    <row r="36" spans="2:7" x14ac:dyDescent="0.3">
      <c r="B36" s="28"/>
      <c r="C36" s="29"/>
      <c r="D36" s="30"/>
    </row>
    <row r="37" spans="2:7" x14ac:dyDescent="0.3">
      <c r="B37" s="28"/>
      <c r="C37" s="29"/>
      <c r="D37" s="30"/>
      <c r="F37" s="37" t="s">
        <v>19</v>
      </c>
      <c r="G37" s="38"/>
    </row>
    <row r="38" spans="2:7" x14ac:dyDescent="0.3">
      <c r="B38" s="31"/>
      <c r="C38" s="32"/>
      <c r="D38" s="33"/>
      <c r="F38" s="39" t="s">
        <v>10</v>
      </c>
      <c r="G38" s="39"/>
    </row>
    <row r="41" spans="2:7" x14ac:dyDescent="0.3">
      <c r="B41" s="35" t="s">
        <v>20</v>
      </c>
      <c r="C41" s="35"/>
      <c r="D41" s="35"/>
      <c r="E41" s="35"/>
      <c r="F41" s="35"/>
      <c r="G41" s="35"/>
    </row>
    <row r="42" spans="2:7" x14ac:dyDescent="0.3">
      <c r="B42" s="36" t="s">
        <v>13</v>
      </c>
      <c r="C42" s="36"/>
      <c r="D42" s="36"/>
      <c r="E42" s="36"/>
      <c r="F42" s="36"/>
      <c r="G42" s="36"/>
    </row>
    <row r="44" spans="2:7" ht="18" x14ac:dyDescent="0.35">
      <c r="B44" s="34" t="s">
        <v>14</v>
      </c>
      <c r="C44" s="34"/>
      <c r="D44" s="34"/>
      <c r="E44" s="34"/>
      <c r="F44" s="34"/>
      <c r="G44" s="34"/>
    </row>
  </sheetData>
  <mergeCells count="15">
    <mergeCell ref="E1:G1"/>
    <mergeCell ref="B1:D1"/>
    <mergeCell ref="B2:D2"/>
    <mergeCell ref="B32:D32"/>
    <mergeCell ref="B44:G44"/>
    <mergeCell ref="B41:G41"/>
    <mergeCell ref="B42:G42"/>
    <mergeCell ref="F37:G37"/>
    <mergeCell ref="F38:G38"/>
    <mergeCell ref="B33:D33"/>
    <mergeCell ref="B34:D34"/>
    <mergeCell ref="B35:D35"/>
    <mergeCell ref="B37:D37"/>
    <mergeCell ref="B38:D38"/>
    <mergeCell ref="B36:D36"/>
  </mergeCells>
  <phoneticPr fontId="5" type="noConversion"/>
  <printOptions horizontalCentered="1"/>
  <pageMargins left="0.75" right="0.75" top="0.75" bottom="0.75" header="0.5" footer="0.25"/>
  <pageSetup scale="89" fitToHeight="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F489"/>
  <sheetViews>
    <sheetView showGridLines="0" workbookViewId="0">
      <pane ySplit="1" topLeftCell="A157" activePane="bottomLeft" state="frozen"/>
      <selection pane="bottomLeft" activeCell="C207" sqref="C207"/>
    </sheetView>
  </sheetViews>
  <sheetFormatPr baseColWidth="10" defaultRowHeight="15" x14ac:dyDescent="0.3"/>
  <cols>
    <col min="1" max="1" width="4" bestFit="1" customWidth="1"/>
    <col min="2" max="2" width="15.7109375" bestFit="1" customWidth="1"/>
    <col min="3" max="3" width="99.42578125" bestFit="1" customWidth="1"/>
    <col min="4" max="4" width="21.5703125" bestFit="1" customWidth="1"/>
  </cols>
  <sheetData>
    <row r="1" spans="1:6" x14ac:dyDescent="0.3">
      <c r="A1" t="s">
        <v>22</v>
      </c>
      <c r="B1" t="s">
        <v>23</v>
      </c>
      <c r="C1" t="s">
        <v>1000</v>
      </c>
      <c r="D1" t="s">
        <v>1001</v>
      </c>
      <c r="E1" t="s">
        <v>1002</v>
      </c>
      <c r="F1" t="s">
        <v>1011</v>
      </c>
    </row>
    <row r="2" spans="1:6" x14ac:dyDescent="0.3">
      <c r="A2">
        <v>1</v>
      </c>
      <c r="B2" t="s">
        <v>24</v>
      </c>
      <c r="C2" t="s">
        <v>512</v>
      </c>
      <c r="D2" t="str">
        <f>+"DIRECCIÓN CLIENTE "&amp;A2</f>
        <v>DIRECCIÓN CLIENTE 1</v>
      </c>
      <c r="E2" t="s">
        <v>1003</v>
      </c>
      <c r="F2" t="s">
        <v>1012</v>
      </c>
    </row>
    <row r="3" spans="1:6" x14ac:dyDescent="0.3">
      <c r="A3">
        <v>2</v>
      </c>
      <c r="B3" t="s">
        <v>25</v>
      </c>
      <c r="C3" t="s">
        <v>513</v>
      </c>
      <c r="D3" t="str">
        <f t="shared" ref="D3:D66" si="0">+"DIRECCIÓN CLIENTE "&amp;A3</f>
        <v>DIRECCIÓN CLIENTE 2</v>
      </c>
      <c r="E3" t="s">
        <v>1004</v>
      </c>
      <c r="F3" t="s">
        <v>1012</v>
      </c>
    </row>
    <row r="4" spans="1:6" x14ac:dyDescent="0.3">
      <c r="A4">
        <v>3</v>
      </c>
      <c r="B4" t="s">
        <v>26</v>
      </c>
      <c r="C4" t="s">
        <v>514</v>
      </c>
      <c r="D4" t="str">
        <f t="shared" si="0"/>
        <v>DIRECCIÓN CLIENTE 3</v>
      </c>
      <c r="E4" t="s">
        <v>1005</v>
      </c>
      <c r="F4" t="s">
        <v>1012</v>
      </c>
    </row>
    <row r="5" spans="1:6" x14ac:dyDescent="0.3">
      <c r="A5">
        <v>4</v>
      </c>
      <c r="B5" t="s">
        <v>27</v>
      </c>
      <c r="C5" t="s">
        <v>515</v>
      </c>
      <c r="D5" t="str">
        <f t="shared" si="0"/>
        <v>DIRECCIÓN CLIENTE 4</v>
      </c>
      <c r="E5" t="s">
        <v>1006</v>
      </c>
      <c r="F5" t="s">
        <v>1012</v>
      </c>
    </row>
    <row r="6" spans="1:6" x14ac:dyDescent="0.3">
      <c r="A6">
        <v>5</v>
      </c>
      <c r="B6" t="s">
        <v>28</v>
      </c>
      <c r="C6" t="s">
        <v>516</v>
      </c>
      <c r="D6" t="str">
        <f t="shared" si="0"/>
        <v>DIRECCIÓN CLIENTE 5</v>
      </c>
      <c r="E6" t="s">
        <v>1007</v>
      </c>
      <c r="F6" t="s">
        <v>1012</v>
      </c>
    </row>
    <row r="7" spans="1:6" x14ac:dyDescent="0.3">
      <c r="A7">
        <v>6</v>
      </c>
      <c r="B7" t="s">
        <v>29</v>
      </c>
      <c r="C7" t="s">
        <v>517</v>
      </c>
      <c r="D7" t="str">
        <f t="shared" si="0"/>
        <v>DIRECCIÓN CLIENTE 6</v>
      </c>
      <c r="E7" t="s">
        <v>1008</v>
      </c>
      <c r="F7" t="s">
        <v>1012</v>
      </c>
    </row>
    <row r="8" spans="1:6" x14ac:dyDescent="0.3">
      <c r="A8">
        <v>7</v>
      </c>
      <c r="B8" t="s">
        <v>30</v>
      </c>
      <c r="C8" t="s">
        <v>518</v>
      </c>
      <c r="D8" t="str">
        <f t="shared" si="0"/>
        <v>DIRECCIÓN CLIENTE 7</v>
      </c>
      <c r="E8" t="s">
        <v>1009</v>
      </c>
      <c r="F8" t="s">
        <v>1012</v>
      </c>
    </row>
    <row r="9" spans="1:6" x14ac:dyDescent="0.3">
      <c r="A9">
        <v>8</v>
      </c>
      <c r="B9" t="s">
        <v>31</v>
      </c>
      <c r="C9" t="s">
        <v>519</v>
      </c>
      <c r="D9" t="str">
        <f t="shared" si="0"/>
        <v>DIRECCIÓN CLIENTE 8</v>
      </c>
      <c r="E9" t="s">
        <v>1010</v>
      </c>
      <c r="F9" t="s">
        <v>1012</v>
      </c>
    </row>
    <row r="10" spans="1:6" x14ac:dyDescent="0.3">
      <c r="A10">
        <v>9</v>
      </c>
      <c r="B10" t="s">
        <v>32</v>
      </c>
      <c r="C10" t="s">
        <v>520</v>
      </c>
      <c r="D10" t="str">
        <f t="shared" si="0"/>
        <v>DIRECCIÓN CLIENTE 9</v>
      </c>
      <c r="E10" t="s">
        <v>1003</v>
      </c>
      <c r="F10" t="s">
        <v>1012</v>
      </c>
    </row>
    <row r="11" spans="1:6" x14ac:dyDescent="0.3">
      <c r="A11">
        <v>10</v>
      </c>
      <c r="B11" t="s">
        <v>33</v>
      </c>
      <c r="C11" t="s">
        <v>521</v>
      </c>
      <c r="D11" t="str">
        <f t="shared" si="0"/>
        <v>DIRECCIÓN CLIENTE 10</v>
      </c>
      <c r="E11" t="s">
        <v>1004</v>
      </c>
      <c r="F11" t="s">
        <v>1012</v>
      </c>
    </row>
    <row r="12" spans="1:6" x14ac:dyDescent="0.3">
      <c r="A12">
        <v>11</v>
      </c>
      <c r="B12" t="s">
        <v>34</v>
      </c>
      <c r="C12" t="s">
        <v>522</v>
      </c>
      <c r="D12" t="str">
        <f t="shared" si="0"/>
        <v>DIRECCIÓN CLIENTE 11</v>
      </c>
      <c r="E12" t="s">
        <v>1005</v>
      </c>
      <c r="F12" t="s">
        <v>1012</v>
      </c>
    </row>
    <row r="13" spans="1:6" x14ac:dyDescent="0.3">
      <c r="A13">
        <v>12</v>
      </c>
      <c r="B13" t="s">
        <v>35</v>
      </c>
      <c r="C13" t="s">
        <v>523</v>
      </c>
      <c r="D13" t="str">
        <f t="shared" si="0"/>
        <v>DIRECCIÓN CLIENTE 12</v>
      </c>
      <c r="E13" t="s">
        <v>1006</v>
      </c>
      <c r="F13" t="s">
        <v>1012</v>
      </c>
    </row>
    <row r="14" spans="1:6" x14ac:dyDescent="0.3">
      <c r="A14">
        <v>13</v>
      </c>
      <c r="B14" t="s">
        <v>36</v>
      </c>
      <c r="C14" t="s">
        <v>524</v>
      </c>
      <c r="D14" t="str">
        <f t="shared" si="0"/>
        <v>DIRECCIÓN CLIENTE 13</v>
      </c>
      <c r="E14" t="s">
        <v>1007</v>
      </c>
      <c r="F14" t="s">
        <v>1012</v>
      </c>
    </row>
    <row r="15" spans="1:6" x14ac:dyDescent="0.3">
      <c r="A15">
        <v>14</v>
      </c>
      <c r="B15" t="s">
        <v>37</v>
      </c>
      <c r="C15" t="s">
        <v>525</v>
      </c>
      <c r="D15" t="str">
        <f t="shared" si="0"/>
        <v>DIRECCIÓN CLIENTE 14</v>
      </c>
      <c r="E15" t="s">
        <v>1008</v>
      </c>
      <c r="F15" t="s">
        <v>1012</v>
      </c>
    </row>
    <row r="16" spans="1:6" x14ac:dyDescent="0.3">
      <c r="A16">
        <v>15</v>
      </c>
      <c r="B16" t="s">
        <v>38</v>
      </c>
      <c r="C16" t="s">
        <v>526</v>
      </c>
      <c r="D16" t="str">
        <f t="shared" si="0"/>
        <v>DIRECCIÓN CLIENTE 15</v>
      </c>
      <c r="E16" t="s">
        <v>1009</v>
      </c>
      <c r="F16" t="s">
        <v>1012</v>
      </c>
    </row>
    <row r="17" spans="1:6" x14ac:dyDescent="0.3">
      <c r="A17">
        <v>16</v>
      </c>
      <c r="B17" t="s">
        <v>39</v>
      </c>
      <c r="C17" t="s">
        <v>527</v>
      </c>
      <c r="D17" t="str">
        <f t="shared" si="0"/>
        <v>DIRECCIÓN CLIENTE 16</v>
      </c>
      <c r="E17" t="s">
        <v>1010</v>
      </c>
      <c r="F17" t="s">
        <v>1012</v>
      </c>
    </row>
    <row r="18" spans="1:6" x14ac:dyDescent="0.3">
      <c r="A18">
        <v>17</v>
      </c>
      <c r="B18" t="s">
        <v>40</v>
      </c>
      <c r="C18" t="s">
        <v>528</v>
      </c>
      <c r="D18" t="str">
        <f t="shared" si="0"/>
        <v>DIRECCIÓN CLIENTE 17</v>
      </c>
      <c r="E18" t="s">
        <v>1003</v>
      </c>
      <c r="F18" t="s">
        <v>1012</v>
      </c>
    </row>
    <row r="19" spans="1:6" x14ac:dyDescent="0.3">
      <c r="A19">
        <v>18</v>
      </c>
      <c r="B19" t="s">
        <v>41</v>
      </c>
      <c r="C19" t="s">
        <v>529</v>
      </c>
      <c r="D19" t="str">
        <f t="shared" si="0"/>
        <v>DIRECCIÓN CLIENTE 18</v>
      </c>
      <c r="E19" t="s">
        <v>1004</v>
      </c>
      <c r="F19" t="s">
        <v>1012</v>
      </c>
    </row>
    <row r="20" spans="1:6" x14ac:dyDescent="0.3">
      <c r="A20">
        <v>19</v>
      </c>
      <c r="B20" t="s">
        <v>42</v>
      </c>
      <c r="C20" t="s">
        <v>530</v>
      </c>
      <c r="D20" t="str">
        <f t="shared" si="0"/>
        <v>DIRECCIÓN CLIENTE 19</v>
      </c>
      <c r="E20" t="s">
        <v>1005</v>
      </c>
      <c r="F20" t="s">
        <v>1012</v>
      </c>
    </row>
    <row r="21" spans="1:6" x14ac:dyDescent="0.3">
      <c r="A21">
        <v>20</v>
      </c>
      <c r="B21" t="s">
        <v>43</v>
      </c>
      <c r="C21" t="s">
        <v>531</v>
      </c>
      <c r="D21" t="str">
        <f t="shared" si="0"/>
        <v>DIRECCIÓN CLIENTE 20</v>
      </c>
      <c r="E21" t="s">
        <v>1006</v>
      </c>
      <c r="F21" t="s">
        <v>1012</v>
      </c>
    </row>
    <row r="22" spans="1:6" x14ac:dyDescent="0.3">
      <c r="A22">
        <v>21</v>
      </c>
      <c r="B22" t="s">
        <v>44</v>
      </c>
      <c r="C22" t="s">
        <v>532</v>
      </c>
      <c r="D22" t="str">
        <f t="shared" si="0"/>
        <v>DIRECCIÓN CLIENTE 21</v>
      </c>
      <c r="E22" t="s">
        <v>1007</v>
      </c>
      <c r="F22" t="s">
        <v>1012</v>
      </c>
    </row>
    <row r="23" spans="1:6" x14ac:dyDescent="0.3">
      <c r="A23">
        <v>22</v>
      </c>
      <c r="B23" t="s">
        <v>45</v>
      </c>
      <c r="C23" t="s">
        <v>533</v>
      </c>
      <c r="D23" t="str">
        <f t="shared" si="0"/>
        <v>DIRECCIÓN CLIENTE 22</v>
      </c>
      <c r="E23" t="s">
        <v>1008</v>
      </c>
      <c r="F23" t="s">
        <v>1012</v>
      </c>
    </row>
    <row r="24" spans="1:6" x14ac:dyDescent="0.3">
      <c r="A24">
        <v>23</v>
      </c>
      <c r="B24" t="s">
        <v>46</v>
      </c>
      <c r="C24" t="s">
        <v>534</v>
      </c>
      <c r="D24" t="str">
        <f t="shared" si="0"/>
        <v>DIRECCIÓN CLIENTE 23</v>
      </c>
      <c r="E24" t="s">
        <v>1009</v>
      </c>
      <c r="F24" t="s">
        <v>1012</v>
      </c>
    </row>
    <row r="25" spans="1:6" x14ac:dyDescent="0.3">
      <c r="A25">
        <v>24</v>
      </c>
      <c r="B25" t="s">
        <v>47</v>
      </c>
      <c r="C25" t="s">
        <v>535</v>
      </c>
      <c r="D25" t="str">
        <f t="shared" si="0"/>
        <v>DIRECCIÓN CLIENTE 24</v>
      </c>
      <c r="E25" t="s">
        <v>1010</v>
      </c>
      <c r="F25" t="s">
        <v>1012</v>
      </c>
    </row>
    <row r="26" spans="1:6" x14ac:dyDescent="0.3">
      <c r="A26">
        <v>25</v>
      </c>
      <c r="B26" t="s">
        <v>48</v>
      </c>
      <c r="C26" t="s">
        <v>536</v>
      </c>
      <c r="D26" t="str">
        <f t="shared" si="0"/>
        <v>DIRECCIÓN CLIENTE 25</v>
      </c>
      <c r="E26" t="s">
        <v>1003</v>
      </c>
      <c r="F26" t="s">
        <v>1012</v>
      </c>
    </row>
    <row r="27" spans="1:6" x14ac:dyDescent="0.3">
      <c r="A27">
        <v>26</v>
      </c>
      <c r="B27" t="s">
        <v>49</v>
      </c>
      <c r="C27" t="s">
        <v>537</v>
      </c>
      <c r="D27" t="str">
        <f t="shared" si="0"/>
        <v>DIRECCIÓN CLIENTE 26</v>
      </c>
      <c r="E27" t="s">
        <v>1004</v>
      </c>
      <c r="F27" t="s">
        <v>1012</v>
      </c>
    </row>
    <row r="28" spans="1:6" x14ac:dyDescent="0.3">
      <c r="A28">
        <v>27</v>
      </c>
      <c r="B28" t="s">
        <v>50</v>
      </c>
      <c r="C28" t="s">
        <v>538</v>
      </c>
      <c r="D28" t="str">
        <f t="shared" si="0"/>
        <v>DIRECCIÓN CLIENTE 27</v>
      </c>
      <c r="E28" t="s">
        <v>1005</v>
      </c>
      <c r="F28" t="s">
        <v>1012</v>
      </c>
    </row>
    <row r="29" spans="1:6" x14ac:dyDescent="0.3">
      <c r="A29">
        <v>28</v>
      </c>
      <c r="B29" t="s">
        <v>51</v>
      </c>
      <c r="C29" t="s">
        <v>539</v>
      </c>
      <c r="D29" t="str">
        <f t="shared" si="0"/>
        <v>DIRECCIÓN CLIENTE 28</v>
      </c>
      <c r="E29" t="s">
        <v>1006</v>
      </c>
      <c r="F29" t="s">
        <v>1012</v>
      </c>
    </row>
    <row r="30" spans="1:6" x14ac:dyDescent="0.3">
      <c r="A30">
        <v>29</v>
      </c>
      <c r="B30" t="s">
        <v>52</v>
      </c>
      <c r="C30" t="s">
        <v>540</v>
      </c>
      <c r="D30" t="str">
        <f t="shared" si="0"/>
        <v>DIRECCIÓN CLIENTE 29</v>
      </c>
      <c r="E30" t="s">
        <v>1007</v>
      </c>
      <c r="F30" t="s">
        <v>1012</v>
      </c>
    </row>
    <row r="31" spans="1:6" x14ac:dyDescent="0.3">
      <c r="A31">
        <v>30</v>
      </c>
      <c r="B31" t="s">
        <v>53</v>
      </c>
      <c r="C31" t="s">
        <v>541</v>
      </c>
      <c r="D31" t="str">
        <f t="shared" si="0"/>
        <v>DIRECCIÓN CLIENTE 30</v>
      </c>
      <c r="E31" t="s">
        <v>1008</v>
      </c>
      <c r="F31" t="s">
        <v>1012</v>
      </c>
    </row>
    <row r="32" spans="1:6" x14ac:dyDescent="0.3">
      <c r="A32">
        <v>31</v>
      </c>
      <c r="B32" t="s">
        <v>54</v>
      </c>
      <c r="C32" t="s">
        <v>542</v>
      </c>
      <c r="D32" t="str">
        <f t="shared" si="0"/>
        <v>DIRECCIÓN CLIENTE 31</v>
      </c>
      <c r="E32" t="s">
        <v>1009</v>
      </c>
      <c r="F32" t="s">
        <v>1012</v>
      </c>
    </row>
    <row r="33" spans="1:6" x14ac:dyDescent="0.3">
      <c r="A33">
        <v>32</v>
      </c>
      <c r="B33" t="s">
        <v>55</v>
      </c>
      <c r="C33" t="s">
        <v>543</v>
      </c>
      <c r="D33" t="str">
        <f t="shared" si="0"/>
        <v>DIRECCIÓN CLIENTE 32</v>
      </c>
      <c r="E33" t="s">
        <v>1010</v>
      </c>
      <c r="F33" t="s">
        <v>1012</v>
      </c>
    </row>
    <row r="34" spans="1:6" x14ac:dyDescent="0.3">
      <c r="A34">
        <v>33</v>
      </c>
      <c r="B34" t="s">
        <v>56</v>
      </c>
      <c r="C34" t="s">
        <v>544</v>
      </c>
      <c r="D34" t="str">
        <f t="shared" si="0"/>
        <v>DIRECCIÓN CLIENTE 33</v>
      </c>
      <c r="E34" t="s">
        <v>1003</v>
      </c>
      <c r="F34" t="s">
        <v>1012</v>
      </c>
    </row>
    <row r="35" spans="1:6" x14ac:dyDescent="0.3">
      <c r="A35">
        <v>34</v>
      </c>
      <c r="B35" t="s">
        <v>57</v>
      </c>
      <c r="C35" t="s">
        <v>545</v>
      </c>
      <c r="D35" t="str">
        <f t="shared" si="0"/>
        <v>DIRECCIÓN CLIENTE 34</v>
      </c>
      <c r="E35" t="s">
        <v>1004</v>
      </c>
      <c r="F35" t="s">
        <v>1012</v>
      </c>
    </row>
    <row r="36" spans="1:6" x14ac:dyDescent="0.3">
      <c r="A36">
        <v>35</v>
      </c>
      <c r="B36" t="s">
        <v>58</v>
      </c>
      <c r="C36" t="s">
        <v>546</v>
      </c>
      <c r="D36" t="str">
        <f t="shared" si="0"/>
        <v>DIRECCIÓN CLIENTE 35</v>
      </c>
      <c r="E36" t="s">
        <v>1005</v>
      </c>
      <c r="F36" t="s">
        <v>1012</v>
      </c>
    </row>
    <row r="37" spans="1:6" x14ac:dyDescent="0.3">
      <c r="A37">
        <v>36</v>
      </c>
      <c r="B37" t="s">
        <v>59</v>
      </c>
      <c r="C37" t="s">
        <v>547</v>
      </c>
      <c r="D37" t="str">
        <f t="shared" si="0"/>
        <v>DIRECCIÓN CLIENTE 36</v>
      </c>
      <c r="E37" t="s">
        <v>1006</v>
      </c>
      <c r="F37" t="s">
        <v>1012</v>
      </c>
    </row>
    <row r="38" spans="1:6" x14ac:dyDescent="0.3">
      <c r="A38">
        <v>37</v>
      </c>
      <c r="B38" t="s">
        <v>60</v>
      </c>
      <c r="C38" t="s">
        <v>548</v>
      </c>
      <c r="D38" t="str">
        <f t="shared" si="0"/>
        <v>DIRECCIÓN CLIENTE 37</v>
      </c>
      <c r="E38" t="s">
        <v>1007</v>
      </c>
      <c r="F38" t="s">
        <v>1012</v>
      </c>
    </row>
    <row r="39" spans="1:6" x14ac:dyDescent="0.3">
      <c r="A39">
        <v>38</v>
      </c>
      <c r="B39" t="s">
        <v>61</v>
      </c>
      <c r="C39" t="s">
        <v>549</v>
      </c>
      <c r="D39" t="str">
        <f t="shared" si="0"/>
        <v>DIRECCIÓN CLIENTE 38</v>
      </c>
      <c r="E39" t="s">
        <v>1008</v>
      </c>
      <c r="F39" t="s">
        <v>1012</v>
      </c>
    </row>
    <row r="40" spans="1:6" x14ac:dyDescent="0.3">
      <c r="A40">
        <v>39</v>
      </c>
      <c r="B40" t="s">
        <v>62</v>
      </c>
      <c r="C40" t="s">
        <v>550</v>
      </c>
      <c r="D40" t="str">
        <f t="shared" si="0"/>
        <v>DIRECCIÓN CLIENTE 39</v>
      </c>
      <c r="E40" t="s">
        <v>1009</v>
      </c>
      <c r="F40" t="s">
        <v>1012</v>
      </c>
    </row>
    <row r="41" spans="1:6" x14ac:dyDescent="0.3">
      <c r="A41">
        <v>40</v>
      </c>
      <c r="B41" t="s">
        <v>63</v>
      </c>
      <c r="C41" t="s">
        <v>551</v>
      </c>
      <c r="D41" t="str">
        <f t="shared" si="0"/>
        <v>DIRECCIÓN CLIENTE 40</v>
      </c>
      <c r="E41" t="s">
        <v>1010</v>
      </c>
      <c r="F41" t="s">
        <v>1012</v>
      </c>
    </row>
    <row r="42" spans="1:6" x14ac:dyDescent="0.3">
      <c r="A42">
        <v>41</v>
      </c>
      <c r="B42" t="s">
        <v>64</v>
      </c>
      <c r="C42" t="s">
        <v>552</v>
      </c>
      <c r="D42" t="str">
        <f t="shared" si="0"/>
        <v>DIRECCIÓN CLIENTE 41</v>
      </c>
      <c r="E42" t="s">
        <v>1003</v>
      </c>
      <c r="F42" t="s">
        <v>1012</v>
      </c>
    </row>
    <row r="43" spans="1:6" x14ac:dyDescent="0.3">
      <c r="A43">
        <v>42</v>
      </c>
      <c r="B43" t="s">
        <v>65</v>
      </c>
      <c r="C43" t="s">
        <v>553</v>
      </c>
      <c r="D43" t="str">
        <f t="shared" si="0"/>
        <v>DIRECCIÓN CLIENTE 42</v>
      </c>
      <c r="E43" t="s">
        <v>1004</v>
      </c>
      <c r="F43" t="s">
        <v>1012</v>
      </c>
    </row>
    <row r="44" spans="1:6" x14ac:dyDescent="0.3">
      <c r="A44">
        <v>43</v>
      </c>
      <c r="B44" t="s">
        <v>66</v>
      </c>
      <c r="C44" t="s">
        <v>554</v>
      </c>
      <c r="D44" t="str">
        <f t="shared" si="0"/>
        <v>DIRECCIÓN CLIENTE 43</v>
      </c>
      <c r="E44" t="s">
        <v>1005</v>
      </c>
      <c r="F44" t="s">
        <v>1012</v>
      </c>
    </row>
    <row r="45" spans="1:6" x14ac:dyDescent="0.3">
      <c r="A45">
        <v>44</v>
      </c>
      <c r="B45" t="s">
        <v>67</v>
      </c>
      <c r="C45" t="s">
        <v>555</v>
      </c>
      <c r="D45" t="str">
        <f t="shared" si="0"/>
        <v>DIRECCIÓN CLIENTE 44</v>
      </c>
      <c r="E45" t="s">
        <v>1006</v>
      </c>
      <c r="F45" t="s">
        <v>1012</v>
      </c>
    </row>
    <row r="46" spans="1:6" x14ac:dyDescent="0.3">
      <c r="A46">
        <v>45</v>
      </c>
      <c r="B46" t="s">
        <v>68</v>
      </c>
      <c r="C46" t="s">
        <v>556</v>
      </c>
      <c r="D46" t="str">
        <f t="shared" si="0"/>
        <v>DIRECCIÓN CLIENTE 45</v>
      </c>
      <c r="E46" t="s">
        <v>1007</v>
      </c>
      <c r="F46" t="s">
        <v>1012</v>
      </c>
    </row>
    <row r="47" spans="1:6" x14ac:dyDescent="0.3">
      <c r="A47">
        <v>46</v>
      </c>
      <c r="B47" t="s">
        <v>69</v>
      </c>
      <c r="C47" t="s">
        <v>557</v>
      </c>
      <c r="D47" t="str">
        <f t="shared" si="0"/>
        <v>DIRECCIÓN CLIENTE 46</v>
      </c>
      <c r="E47" t="s">
        <v>1008</v>
      </c>
      <c r="F47" t="s">
        <v>1012</v>
      </c>
    </row>
    <row r="48" spans="1:6" x14ac:dyDescent="0.3">
      <c r="A48">
        <v>47</v>
      </c>
      <c r="B48" t="s">
        <v>70</v>
      </c>
      <c r="C48" t="s">
        <v>558</v>
      </c>
      <c r="D48" t="str">
        <f t="shared" si="0"/>
        <v>DIRECCIÓN CLIENTE 47</v>
      </c>
      <c r="E48" t="s">
        <v>1009</v>
      </c>
      <c r="F48" t="s">
        <v>1012</v>
      </c>
    </row>
    <row r="49" spans="1:6" x14ac:dyDescent="0.3">
      <c r="A49">
        <v>48</v>
      </c>
      <c r="B49" t="s">
        <v>71</v>
      </c>
      <c r="C49" t="s">
        <v>559</v>
      </c>
      <c r="D49" t="str">
        <f t="shared" si="0"/>
        <v>DIRECCIÓN CLIENTE 48</v>
      </c>
      <c r="E49" t="s">
        <v>1010</v>
      </c>
      <c r="F49" t="s">
        <v>1012</v>
      </c>
    </row>
    <row r="50" spans="1:6" x14ac:dyDescent="0.3">
      <c r="A50">
        <v>49</v>
      </c>
      <c r="B50" t="s">
        <v>72</v>
      </c>
      <c r="C50" t="s">
        <v>560</v>
      </c>
      <c r="D50" t="str">
        <f t="shared" si="0"/>
        <v>DIRECCIÓN CLIENTE 49</v>
      </c>
      <c r="E50" t="s">
        <v>1003</v>
      </c>
      <c r="F50" t="s">
        <v>1012</v>
      </c>
    </row>
    <row r="51" spans="1:6" x14ac:dyDescent="0.3">
      <c r="A51">
        <v>50</v>
      </c>
      <c r="B51" t="s">
        <v>73</v>
      </c>
      <c r="C51" t="s">
        <v>561</v>
      </c>
      <c r="D51" t="str">
        <f t="shared" si="0"/>
        <v>DIRECCIÓN CLIENTE 50</v>
      </c>
      <c r="E51" t="s">
        <v>1004</v>
      </c>
      <c r="F51" t="s">
        <v>1012</v>
      </c>
    </row>
    <row r="52" spans="1:6" x14ac:dyDescent="0.3">
      <c r="A52">
        <v>51</v>
      </c>
      <c r="B52" t="s">
        <v>74</v>
      </c>
      <c r="C52" t="s">
        <v>562</v>
      </c>
      <c r="D52" t="str">
        <f t="shared" si="0"/>
        <v>DIRECCIÓN CLIENTE 51</v>
      </c>
      <c r="E52" t="s">
        <v>1005</v>
      </c>
      <c r="F52" t="s">
        <v>1012</v>
      </c>
    </row>
    <row r="53" spans="1:6" x14ac:dyDescent="0.3">
      <c r="A53">
        <v>52</v>
      </c>
      <c r="B53" t="s">
        <v>75</v>
      </c>
      <c r="C53" t="s">
        <v>563</v>
      </c>
      <c r="D53" t="str">
        <f t="shared" si="0"/>
        <v>DIRECCIÓN CLIENTE 52</v>
      </c>
      <c r="E53" t="s">
        <v>1006</v>
      </c>
      <c r="F53" t="s">
        <v>1012</v>
      </c>
    </row>
    <row r="54" spans="1:6" x14ac:dyDescent="0.3">
      <c r="A54">
        <v>53</v>
      </c>
      <c r="B54" t="s">
        <v>76</v>
      </c>
      <c r="C54" t="s">
        <v>564</v>
      </c>
      <c r="D54" t="str">
        <f t="shared" si="0"/>
        <v>DIRECCIÓN CLIENTE 53</v>
      </c>
      <c r="E54" t="s">
        <v>1007</v>
      </c>
      <c r="F54" t="s">
        <v>1012</v>
      </c>
    </row>
    <row r="55" spans="1:6" x14ac:dyDescent="0.3">
      <c r="A55">
        <v>54</v>
      </c>
      <c r="B55" t="s">
        <v>77</v>
      </c>
      <c r="C55" t="s">
        <v>565</v>
      </c>
      <c r="D55" t="str">
        <f t="shared" si="0"/>
        <v>DIRECCIÓN CLIENTE 54</v>
      </c>
      <c r="E55" t="s">
        <v>1008</v>
      </c>
      <c r="F55" t="s">
        <v>1012</v>
      </c>
    </row>
    <row r="56" spans="1:6" x14ac:dyDescent="0.3">
      <c r="A56">
        <v>55</v>
      </c>
      <c r="B56" t="s">
        <v>78</v>
      </c>
      <c r="C56" t="s">
        <v>566</v>
      </c>
      <c r="D56" t="str">
        <f t="shared" si="0"/>
        <v>DIRECCIÓN CLIENTE 55</v>
      </c>
      <c r="E56" t="s">
        <v>1009</v>
      </c>
      <c r="F56" t="s">
        <v>1012</v>
      </c>
    </row>
    <row r="57" spans="1:6" x14ac:dyDescent="0.3">
      <c r="A57">
        <v>56</v>
      </c>
      <c r="B57" t="s">
        <v>79</v>
      </c>
      <c r="C57" t="s">
        <v>567</v>
      </c>
      <c r="D57" t="str">
        <f t="shared" si="0"/>
        <v>DIRECCIÓN CLIENTE 56</v>
      </c>
      <c r="E57" t="s">
        <v>1010</v>
      </c>
      <c r="F57" t="s">
        <v>1012</v>
      </c>
    </row>
    <row r="58" spans="1:6" x14ac:dyDescent="0.3">
      <c r="A58">
        <v>57</v>
      </c>
      <c r="B58" t="s">
        <v>80</v>
      </c>
      <c r="C58" t="s">
        <v>568</v>
      </c>
      <c r="D58" t="str">
        <f t="shared" si="0"/>
        <v>DIRECCIÓN CLIENTE 57</v>
      </c>
      <c r="E58" t="s">
        <v>1003</v>
      </c>
      <c r="F58" t="s">
        <v>1012</v>
      </c>
    </row>
    <row r="59" spans="1:6" x14ac:dyDescent="0.3">
      <c r="A59">
        <v>58</v>
      </c>
      <c r="B59" t="s">
        <v>81</v>
      </c>
      <c r="C59" t="s">
        <v>569</v>
      </c>
      <c r="D59" t="str">
        <f t="shared" si="0"/>
        <v>DIRECCIÓN CLIENTE 58</v>
      </c>
      <c r="E59" t="s">
        <v>1004</v>
      </c>
      <c r="F59" t="s">
        <v>1012</v>
      </c>
    </row>
    <row r="60" spans="1:6" x14ac:dyDescent="0.3">
      <c r="A60">
        <v>59</v>
      </c>
      <c r="B60" t="s">
        <v>82</v>
      </c>
      <c r="C60" t="s">
        <v>570</v>
      </c>
      <c r="D60" t="str">
        <f t="shared" si="0"/>
        <v>DIRECCIÓN CLIENTE 59</v>
      </c>
      <c r="E60" t="s">
        <v>1005</v>
      </c>
      <c r="F60" t="s">
        <v>1012</v>
      </c>
    </row>
    <row r="61" spans="1:6" x14ac:dyDescent="0.3">
      <c r="A61">
        <v>60</v>
      </c>
      <c r="B61" t="s">
        <v>83</v>
      </c>
      <c r="C61" t="s">
        <v>571</v>
      </c>
      <c r="D61" t="str">
        <f t="shared" si="0"/>
        <v>DIRECCIÓN CLIENTE 60</v>
      </c>
      <c r="E61" t="s">
        <v>1006</v>
      </c>
      <c r="F61" t="s">
        <v>1012</v>
      </c>
    </row>
    <row r="62" spans="1:6" x14ac:dyDescent="0.3">
      <c r="A62">
        <v>61</v>
      </c>
      <c r="B62" t="s">
        <v>84</v>
      </c>
      <c r="C62" t="s">
        <v>572</v>
      </c>
      <c r="D62" t="str">
        <f t="shared" si="0"/>
        <v>DIRECCIÓN CLIENTE 61</v>
      </c>
      <c r="E62" t="s">
        <v>1007</v>
      </c>
      <c r="F62" t="s">
        <v>1012</v>
      </c>
    </row>
    <row r="63" spans="1:6" x14ac:dyDescent="0.3">
      <c r="A63">
        <v>62</v>
      </c>
      <c r="B63" t="s">
        <v>85</v>
      </c>
      <c r="C63" t="s">
        <v>573</v>
      </c>
      <c r="D63" t="str">
        <f t="shared" si="0"/>
        <v>DIRECCIÓN CLIENTE 62</v>
      </c>
      <c r="E63" t="s">
        <v>1008</v>
      </c>
      <c r="F63" t="s">
        <v>1012</v>
      </c>
    </row>
    <row r="64" spans="1:6" x14ac:dyDescent="0.3">
      <c r="A64">
        <v>63</v>
      </c>
      <c r="B64" t="s">
        <v>86</v>
      </c>
      <c r="C64" t="s">
        <v>574</v>
      </c>
      <c r="D64" t="str">
        <f t="shared" si="0"/>
        <v>DIRECCIÓN CLIENTE 63</v>
      </c>
      <c r="E64" t="s">
        <v>1009</v>
      </c>
      <c r="F64" t="s">
        <v>1012</v>
      </c>
    </row>
    <row r="65" spans="1:6" x14ac:dyDescent="0.3">
      <c r="A65">
        <v>64</v>
      </c>
      <c r="B65" t="s">
        <v>87</v>
      </c>
      <c r="C65" t="s">
        <v>575</v>
      </c>
      <c r="D65" t="str">
        <f t="shared" si="0"/>
        <v>DIRECCIÓN CLIENTE 64</v>
      </c>
      <c r="E65" t="s">
        <v>1010</v>
      </c>
      <c r="F65" t="s">
        <v>1012</v>
      </c>
    </row>
    <row r="66" spans="1:6" x14ac:dyDescent="0.3">
      <c r="A66">
        <v>65</v>
      </c>
      <c r="B66" t="s">
        <v>88</v>
      </c>
      <c r="C66" t="s">
        <v>576</v>
      </c>
      <c r="D66" t="str">
        <f t="shared" si="0"/>
        <v>DIRECCIÓN CLIENTE 65</v>
      </c>
      <c r="E66" t="s">
        <v>1003</v>
      </c>
      <c r="F66" t="s">
        <v>1012</v>
      </c>
    </row>
    <row r="67" spans="1:6" x14ac:dyDescent="0.3">
      <c r="A67">
        <v>66</v>
      </c>
      <c r="B67" t="s">
        <v>89</v>
      </c>
      <c r="C67" t="s">
        <v>577</v>
      </c>
      <c r="D67" t="str">
        <f t="shared" ref="D67:D130" si="1">+"DIRECCIÓN CLIENTE "&amp;A67</f>
        <v>DIRECCIÓN CLIENTE 66</v>
      </c>
      <c r="E67" t="s">
        <v>1004</v>
      </c>
      <c r="F67" t="s">
        <v>1012</v>
      </c>
    </row>
    <row r="68" spans="1:6" x14ac:dyDescent="0.3">
      <c r="A68">
        <v>67</v>
      </c>
      <c r="B68" t="s">
        <v>90</v>
      </c>
      <c r="C68" t="s">
        <v>578</v>
      </c>
      <c r="D68" t="str">
        <f t="shared" si="1"/>
        <v>DIRECCIÓN CLIENTE 67</v>
      </c>
      <c r="E68" t="s">
        <v>1005</v>
      </c>
      <c r="F68" t="s">
        <v>1012</v>
      </c>
    </row>
    <row r="69" spans="1:6" x14ac:dyDescent="0.3">
      <c r="A69">
        <v>68</v>
      </c>
      <c r="B69" t="s">
        <v>91</v>
      </c>
      <c r="C69" t="s">
        <v>579</v>
      </c>
      <c r="D69" t="str">
        <f t="shared" si="1"/>
        <v>DIRECCIÓN CLIENTE 68</v>
      </c>
      <c r="E69" t="s">
        <v>1006</v>
      </c>
      <c r="F69" t="s">
        <v>1012</v>
      </c>
    </row>
    <row r="70" spans="1:6" x14ac:dyDescent="0.3">
      <c r="A70">
        <v>69</v>
      </c>
      <c r="B70" t="s">
        <v>92</v>
      </c>
      <c r="C70" t="s">
        <v>580</v>
      </c>
      <c r="D70" t="str">
        <f t="shared" si="1"/>
        <v>DIRECCIÓN CLIENTE 69</v>
      </c>
      <c r="E70" t="s">
        <v>1007</v>
      </c>
      <c r="F70" t="s">
        <v>1012</v>
      </c>
    </row>
    <row r="71" spans="1:6" x14ac:dyDescent="0.3">
      <c r="A71">
        <v>70</v>
      </c>
      <c r="B71" t="s">
        <v>93</v>
      </c>
      <c r="C71" t="s">
        <v>581</v>
      </c>
      <c r="D71" t="str">
        <f t="shared" si="1"/>
        <v>DIRECCIÓN CLIENTE 70</v>
      </c>
      <c r="E71" t="s">
        <v>1008</v>
      </c>
      <c r="F71" t="s">
        <v>1012</v>
      </c>
    </row>
    <row r="72" spans="1:6" x14ac:dyDescent="0.3">
      <c r="A72">
        <v>71</v>
      </c>
      <c r="B72" t="s">
        <v>94</v>
      </c>
      <c r="C72" t="s">
        <v>582</v>
      </c>
      <c r="D72" t="str">
        <f t="shared" si="1"/>
        <v>DIRECCIÓN CLIENTE 71</v>
      </c>
      <c r="E72" t="s">
        <v>1009</v>
      </c>
      <c r="F72" t="s">
        <v>1012</v>
      </c>
    </row>
    <row r="73" spans="1:6" x14ac:dyDescent="0.3">
      <c r="A73">
        <v>72</v>
      </c>
      <c r="B73" t="s">
        <v>95</v>
      </c>
      <c r="C73" t="s">
        <v>583</v>
      </c>
      <c r="D73" t="str">
        <f t="shared" si="1"/>
        <v>DIRECCIÓN CLIENTE 72</v>
      </c>
      <c r="E73" t="s">
        <v>1010</v>
      </c>
      <c r="F73" t="s">
        <v>1012</v>
      </c>
    </row>
    <row r="74" spans="1:6" x14ac:dyDescent="0.3">
      <c r="A74">
        <v>73</v>
      </c>
      <c r="B74" t="s">
        <v>96</v>
      </c>
      <c r="C74" t="s">
        <v>584</v>
      </c>
      <c r="D74" t="str">
        <f t="shared" si="1"/>
        <v>DIRECCIÓN CLIENTE 73</v>
      </c>
      <c r="E74" t="s">
        <v>1003</v>
      </c>
      <c r="F74" t="s">
        <v>1012</v>
      </c>
    </row>
    <row r="75" spans="1:6" x14ac:dyDescent="0.3">
      <c r="A75">
        <v>74</v>
      </c>
      <c r="B75" t="s">
        <v>97</v>
      </c>
      <c r="C75" t="s">
        <v>585</v>
      </c>
      <c r="D75" t="str">
        <f t="shared" si="1"/>
        <v>DIRECCIÓN CLIENTE 74</v>
      </c>
      <c r="E75" t="s">
        <v>1004</v>
      </c>
      <c r="F75" t="s">
        <v>1012</v>
      </c>
    </row>
    <row r="76" spans="1:6" x14ac:dyDescent="0.3">
      <c r="A76">
        <v>75</v>
      </c>
      <c r="B76" t="s">
        <v>98</v>
      </c>
      <c r="C76" t="s">
        <v>586</v>
      </c>
      <c r="D76" t="str">
        <f t="shared" si="1"/>
        <v>DIRECCIÓN CLIENTE 75</v>
      </c>
      <c r="E76" t="s">
        <v>1005</v>
      </c>
      <c r="F76" t="s">
        <v>1012</v>
      </c>
    </row>
    <row r="77" spans="1:6" x14ac:dyDescent="0.3">
      <c r="A77">
        <v>76</v>
      </c>
      <c r="B77" t="s">
        <v>99</v>
      </c>
      <c r="C77" t="s">
        <v>587</v>
      </c>
      <c r="D77" t="str">
        <f t="shared" si="1"/>
        <v>DIRECCIÓN CLIENTE 76</v>
      </c>
      <c r="E77" t="s">
        <v>1006</v>
      </c>
      <c r="F77" t="s">
        <v>1012</v>
      </c>
    </row>
    <row r="78" spans="1:6" x14ac:dyDescent="0.3">
      <c r="A78">
        <v>77</v>
      </c>
      <c r="B78" t="s">
        <v>100</v>
      </c>
      <c r="C78" t="s">
        <v>588</v>
      </c>
      <c r="D78" t="str">
        <f t="shared" si="1"/>
        <v>DIRECCIÓN CLIENTE 77</v>
      </c>
      <c r="E78" t="s">
        <v>1007</v>
      </c>
      <c r="F78" t="s">
        <v>1012</v>
      </c>
    </row>
    <row r="79" spans="1:6" x14ac:dyDescent="0.3">
      <c r="A79">
        <v>78</v>
      </c>
      <c r="B79" t="s">
        <v>101</v>
      </c>
      <c r="C79" t="s">
        <v>589</v>
      </c>
      <c r="D79" t="str">
        <f t="shared" si="1"/>
        <v>DIRECCIÓN CLIENTE 78</v>
      </c>
      <c r="E79" t="s">
        <v>1008</v>
      </c>
      <c r="F79" t="s">
        <v>1012</v>
      </c>
    </row>
    <row r="80" spans="1:6" x14ac:dyDescent="0.3">
      <c r="A80">
        <v>79</v>
      </c>
      <c r="B80" t="s">
        <v>102</v>
      </c>
      <c r="C80" t="s">
        <v>590</v>
      </c>
      <c r="D80" t="str">
        <f t="shared" si="1"/>
        <v>DIRECCIÓN CLIENTE 79</v>
      </c>
      <c r="E80" t="s">
        <v>1009</v>
      </c>
      <c r="F80" t="s">
        <v>1012</v>
      </c>
    </row>
    <row r="81" spans="1:6" x14ac:dyDescent="0.3">
      <c r="A81">
        <v>80</v>
      </c>
      <c r="B81" t="s">
        <v>103</v>
      </c>
      <c r="C81" t="s">
        <v>591</v>
      </c>
      <c r="D81" t="str">
        <f t="shared" si="1"/>
        <v>DIRECCIÓN CLIENTE 80</v>
      </c>
      <c r="E81" t="s">
        <v>1010</v>
      </c>
      <c r="F81" t="s">
        <v>1012</v>
      </c>
    </row>
    <row r="82" spans="1:6" x14ac:dyDescent="0.3">
      <c r="A82">
        <v>81</v>
      </c>
      <c r="B82" t="s">
        <v>104</v>
      </c>
      <c r="C82" t="s">
        <v>592</v>
      </c>
      <c r="D82" t="str">
        <f t="shared" si="1"/>
        <v>DIRECCIÓN CLIENTE 81</v>
      </c>
      <c r="E82" t="s">
        <v>1003</v>
      </c>
      <c r="F82" t="s">
        <v>1012</v>
      </c>
    </row>
    <row r="83" spans="1:6" x14ac:dyDescent="0.3">
      <c r="A83">
        <v>82</v>
      </c>
      <c r="B83" t="s">
        <v>105</v>
      </c>
      <c r="C83" t="s">
        <v>593</v>
      </c>
      <c r="D83" t="str">
        <f t="shared" si="1"/>
        <v>DIRECCIÓN CLIENTE 82</v>
      </c>
      <c r="E83" t="s">
        <v>1004</v>
      </c>
      <c r="F83" t="s">
        <v>1012</v>
      </c>
    </row>
    <row r="84" spans="1:6" x14ac:dyDescent="0.3">
      <c r="A84">
        <v>83</v>
      </c>
      <c r="B84" t="s">
        <v>106</v>
      </c>
      <c r="C84" t="s">
        <v>594</v>
      </c>
      <c r="D84" t="str">
        <f t="shared" si="1"/>
        <v>DIRECCIÓN CLIENTE 83</v>
      </c>
      <c r="E84" t="s">
        <v>1005</v>
      </c>
      <c r="F84" t="s">
        <v>1012</v>
      </c>
    </row>
    <row r="85" spans="1:6" x14ac:dyDescent="0.3">
      <c r="A85">
        <v>84</v>
      </c>
      <c r="B85" t="s">
        <v>107</v>
      </c>
      <c r="C85" t="s">
        <v>595</v>
      </c>
      <c r="D85" t="str">
        <f t="shared" si="1"/>
        <v>DIRECCIÓN CLIENTE 84</v>
      </c>
      <c r="E85" t="s">
        <v>1006</v>
      </c>
      <c r="F85" t="s">
        <v>1012</v>
      </c>
    </row>
    <row r="86" spans="1:6" x14ac:dyDescent="0.3">
      <c r="A86">
        <v>85</v>
      </c>
      <c r="B86" t="s">
        <v>108</v>
      </c>
      <c r="C86" t="s">
        <v>596</v>
      </c>
      <c r="D86" t="str">
        <f t="shared" si="1"/>
        <v>DIRECCIÓN CLIENTE 85</v>
      </c>
      <c r="E86" t="s">
        <v>1007</v>
      </c>
      <c r="F86" t="s">
        <v>1012</v>
      </c>
    </row>
    <row r="87" spans="1:6" x14ac:dyDescent="0.3">
      <c r="A87">
        <v>86</v>
      </c>
      <c r="B87" t="s">
        <v>109</v>
      </c>
      <c r="C87" t="s">
        <v>597</v>
      </c>
      <c r="D87" t="str">
        <f t="shared" si="1"/>
        <v>DIRECCIÓN CLIENTE 86</v>
      </c>
      <c r="E87" t="s">
        <v>1008</v>
      </c>
      <c r="F87" t="s">
        <v>1012</v>
      </c>
    </row>
    <row r="88" spans="1:6" x14ac:dyDescent="0.3">
      <c r="A88">
        <v>87</v>
      </c>
      <c r="B88" t="s">
        <v>110</v>
      </c>
      <c r="C88" t="s">
        <v>598</v>
      </c>
      <c r="D88" t="str">
        <f t="shared" si="1"/>
        <v>DIRECCIÓN CLIENTE 87</v>
      </c>
      <c r="E88" t="s">
        <v>1009</v>
      </c>
      <c r="F88" t="s">
        <v>1012</v>
      </c>
    </row>
    <row r="89" spans="1:6" x14ac:dyDescent="0.3">
      <c r="A89">
        <v>88</v>
      </c>
      <c r="B89" t="s">
        <v>111</v>
      </c>
      <c r="C89" t="s">
        <v>599</v>
      </c>
      <c r="D89" t="str">
        <f t="shared" si="1"/>
        <v>DIRECCIÓN CLIENTE 88</v>
      </c>
      <c r="E89" t="s">
        <v>1010</v>
      </c>
      <c r="F89" t="s">
        <v>1012</v>
      </c>
    </row>
    <row r="90" spans="1:6" x14ac:dyDescent="0.3">
      <c r="A90">
        <v>89</v>
      </c>
      <c r="B90" t="s">
        <v>112</v>
      </c>
      <c r="C90" t="s">
        <v>600</v>
      </c>
      <c r="D90" t="str">
        <f t="shared" si="1"/>
        <v>DIRECCIÓN CLIENTE 89</v>
      </c>
      <c r="E90" t="s">
        <v>1003</v>
      </c>
      <c r="F90" t="s">
        <v>1012</v>
      </c>
    </row>
    <row r="91" spans="1:6" x14ac:dyDescent="0.3">
      <c r="A91">
        <v>90</v>
      </c>
      <c r="B91" t="s">
        <v>113</v>
      </c>
      <c r="C91" t="s">
        <v>601</v>
      </c>
      <c r="D91" t="str">
        <f t="shared" si="1"/>
        <v>DIRECCIÓN CLIENTE 90</v>
      </c>
      <c r="E91" t="s">
        <v>1004</v>
      </c>
      <c r="F91" t="s">
        <v>1012</v>
      </c>
    </row>
    <row r="92" spans="1:6" x14ac:dyDescent="0.3">
      <c r="A92">
        <v>91</v>
      </c>
      <c r="B92" t="s">
        <v>114</v>
      </c>
      <c r="C92" t="s">
        <v>602</v>
      </c>
      <c r="D92" t="str">
        <f t="shared" si="1"/>
        <v>DIRECCIÓN CLIENTE 91</v>
      </c>
      <c r="E92" t="s">
        <v>1005</v>
      </c>
      <c r="F92" t="s">
        <v>1012</v>
      </c>
    </row>
    <row r="93" spans="1:6" x14ac:dyDescent="0.3">
      <c r="A93">
        <v>92</v>
      </c>
      <c r="B93" t="s">
        <v>115</v>
      </c>
      <c r="C93" t="s">
        <v>603</v>
      </c>
      <c r="D93" t="str">
        <f t="shared" si="1"/>
        <v>DIRECCIÓN CLIENTE 92</v>
      </c>
      <c r="E93" t="s">
        <v>1006</v>
      </c>
      <c r="F93" t="s">
        <v>1012</v>
      </c>
    </row>
    <row r="94" spans="1:6" x14ac:dyDescent="0.3">
      <c r="A94">
        <v>93</v>
      </c>
      <c r="B94" t="s">
        <v>116</v>
      </c>
      <c r="C94" t="s">
        <v>604</v>
      </c>
      <c r="D94" t="str">
        <f t="shared" si="1"/>
        <v>DIRECCIÓN CLIENTE 93</v>
      </c>
      <c r="E94" t="s">
        <v>1007</v>
      </c>
      <c r="F94" t="s">
        <v>1012</v>
      </c>
    </row>
    <row r="95" spans="1:6" x14ac:dyDescent="0.3">
      <c r="A95">
        <v>94</v>
      </c>
      <c r="B95" t="s">
        <v>117</v>
      </c>
      <c r="C95" t="s">
        <v>605</v>
      </c>
      <c r="D95" t="str">
        <f t="shared" si="1"/>
        <v>DIRECCIÓN CLIENTE 94</v>
      </c>
      <c r="E95" t="s">
        <v>1008</v>
      </c>
      <c r="F95" t="s">
        <v>1012</v>
      </c>
    </row>
    <row r="96" spans="1:6" x14ac:dyDescent="0.3">
      <c r="A96">
        <v>95</v>
      </c>
      <c r="B96" t="s">
        <v>118</v>
      </c>
      <c r="C96" t="s">
        <v>606</v>
      </c>
      <c r="D96" t="str">
        <f t="shared" si="1"/>
        <v>DIRECCIÓN CLIENTE 95</v>
      </c>
      <c r="E96" t="s">
        <v>1009</v>
      </c>
      <c r="F96" t="s">
        <v>1012</v>
      </c>
    </row>
    <row r="97" spans="1:6" x14ac:dyDescent="0.3">
      <c r="A97">
        <v>96</v>
      </c>
      <c r="B97" t="s">
        <v>119</v>
      </c>
      <c r="C97" t="s">
        <v>607</v>
      </c>
      <c r="D97" t="str">
        <f t="shared" si="1"/>
        <v>DIRECCIÓN CLIENTE 96</v>
      </c>
      <c r="E97" t="s">
        <v>1010</v>
      </c>
      <c r="F97" t="s">
        <v>1012</v>
      </c>
    </row>
    <row r="98" spans="1:6" x14ac:dyDescent="0.3">
      <c r="A98">
        <v>97</v>
      </c>
      <c r="B98" t="s">
        <v>120</v>
      </c>
      <c r="C98" t="s">
        <v>608</v>
      </c>
      <c r="D98" t="str">
        <f t="shared" si="1"/>
        <v>DIRECCIÓN CLIENTE 97</v>
      </c>
      <c r="E98" t="s">
        <v>1003</v>
      </c>
      <c r="F98" t="s">
        <v>1012</v>
      </c>
    </row>
    <row r="99" spans="1:6" x14ac:dyDescent="0.3">
      <c r="A99">
        <v>98</v>
      </c>
      <c r="B99" t="s">
        <v>121</v>
      </c>
      <c r="C99" t="s">
        <v>609</v>
      </c>
      <c r="D99" t="str">
        <f t="shared" si="1"/>
        <v>DIRECCIÓN CLIENTE 98</v>
      </c>
      <c r="E99" t="s">
        <v>1004</v>
      </c>
      <c r="F99" t="s">
        <v>1012</v>
      </c>
    </row>
    <row r="100" spans="1:6" x14ac:dyDescent="0.3">
      <c r="A100">
        <v>99</v>
      </c>
      <c r="B100" t="s">
        <v>122</v>
      </c>
      <c r="C100" t="s">
        <v>610</v>
      </c>
      <c r="D100" t="str">
        <f t="shared" si="1"/>
        <v>DIRECCIÓN CLIENTE 99</v>
      </c>
      <c r="E100" t="s">
        <v>1005</v>
      </c>
      <c r="F100" t="s">
        <v>1012</v>
      </c>
    </row>
    <row r="101" spans="1:6" x14ac:dyDescent="0.3">
      <c r="A101">
        <v>100</v>
      </c>
      <c r="B101" t="s">
        <v>123</v>
      </c>
      <c r="C101" t="s">
        <v>611</v>
      </c>
      <c r="D101" t="str">
        <f t="shared" si="1"/>
        <v>DIRECCIÓN CLIENTE 100</v>
      </c>
      <c r="E101" t="s">
        <v>1006</v>
      </c>
      <c r="F101" t="s">
        <v>1012</v>
      </c>
    </row>
    <row r="102" spans="1:6" x14ac:dyDescent="0.3">
      <c r="A102">
        <v>101</v>
      </c>
      <c r="B102" t="s">
        <v>124</v>
      </c>
      <c r="C102" t="s">
        <v>612</v>
      </c>
      <c r="D102" t="str">
        <f t="shared" si="1"/>
        <v>DIRECCIÓN CLIENTE 101</v>
      </c>
      <c r="E102" t="s">
        <v>1007</v>
      </c>
      <c r="F102" t="s">
        <v>1012</v>
      </c>
    </row>
    <row r="103" spans="1:6" x14ac:dyDescent="0.3">
      <c r="A103">
        <v>102</v>
      </c>
      <c r="B103" t="s">
        <v>125</v>
      </c>
      <c r="C103" t="s">
        <v>613</v>
      </c>
      <c r="D103" t="str">
        <f t="shared" si="1"/>
        <v>DIRECCIÓN CLIENTE 102</v>
      </c>
      <c r="E103" t="s">
        <v>1008</v>
      </c>
      <c r="F103" t="s">
        <v>1012</v>
      </c>
    </row>
    <row r="104" spans="1:6" x14ac:dyDescent="0.3">
      <c r="A104">
        <v>103</v>
      </c>
      <c r="B104" t="s">
        <v>126</v>
      </c>
      <c r="C104" t="s">
        <v>614</v>
      </c>
      <c r="D104" t="str">
        <f t="shared" si="1"/>
        <v>DIRECCIÓN CLIENTE 103</v>
      </c>
      <c r="E104" t="s">
        <v>1009</v>
      </c>
      <c r="F104" t="s">
        <v>1012</v>
      </c>
    </row>
    <row r="105" spans="1:6" x14ac:dyDescent="0.3">
      <c r="A105">
        <v>104</v>
      </c>
      <c r="B105" t="s">
        <v>127</v>
      </c>
      <c r="C105" t="s">
        <v>615</v>
      </c>
      <c r="D105" t="str">
        <f t="shared" si="1"/>
        <v>DIRECCIÓN CLIENTE 104</v>
      </c>
      <c r="E105" t="s">
        <v>1010</v>
      </c>
      <c r="F105" t="s">
        <v>1012</v>
      </c>
    </row>
    <row r="106" spans="1:6" x14ac:dyDescent="0.3">
      <c r="A106">
        <v>105</v>
      </c>
      <c r="B106" t="s">
        <v>128</v>
      </c>
      <c r="C106" t="s">
        <v>616</v>
      </c>
      <c r="D106" t="str">
        <f t="shared" si="1"/>
        <v>DIRECCIÓN CLIENTE 105</v>
      </c>
      <c r="E106" t="s">
        <v>1003</v>
      </c>
      <c r="F106" t="s">
        <v>1012</v>
      </c>
    </row>
    <row r="107" spans="1:6" x14ac:dyDescent="0.3">
      <c r="A107">
        <v>106</v>
      </c>
      <c r="B107" t="s">
        <v>129</v>
      </c>
      <c r="C107" t="s">
        <v>617</v>
      </c>
      <c r="D107" t="str">
        <f t="shared" si="1"/>
        <v>DIRECCIÓN CLIENTE 106</v>
      </c>
      <c r="E107" t="s">
        <v>1004</v>
      </c>
      <c r="F107" t="s">
        <v>1012</v>
      </c>
    </row>
    <row r="108" spans="1:6" x14ac:dyDescent="0.3">
      <c r="A108">
        <v>107</v>
      </c>
      <c r="B108" t="s">
        <v>130</v>
      </c>
      <c r="C108" t="s">
        <v>618</v>
      </c>
      <c r="D108" t="str">
        <f t="shared" si="1"/>
        <v>DIRECCIÓN CLIENTE 107</v>
      </c>
      <c r="E108" t="s">
        <v>1005</v>
      </c>
      <c r="F108" t="s">
        <v>1012</v>
      </c>
    </row>
    <row r="109" spans="1:6" x14ac:dyDescent="0.3">
      <c r="A109">
        <v>108</v>
      </c>
      <c r="B109" t="s">
        <v>131</v>
      </c>
      <c r="C109" t="s">
        <v>619</v>
      </c>
      <c r="D109" t="str">
        <f t="shared" si="1"/>
        <v>DIRECCIÓN CLIENTE 108</v>
      </c>
      <c r="E109" t="s">
        <v>1006</v>
      </c>
      <c r="F109" t="s">
        <v>1012</v>
      </c>
    </row>
    <row r="110" spans="1:6" x14ac:dyDescent="0.3">
      <c r="A110">
        <v>109</v>
      </c>
      <c r="B110" t="s">
        <v>132</v>
      </c>
      <c r="C110" t="s">
        <v>620</v>
      </c>
      <c r="D110" t="str">
        <f t="shared" si="1"/>
        <v>DIRECCIÓN CLIENTE 109</v>
      </c>
      <c r="E110" t="s">
        <v>1007</v>
      </c>
      <c r="F110" t="s">
        <v>1012</v>
      </c>
    </row>
    <row r="111" spans="1:6" x14ac:dyDescent="0.3">
      <c r="A111">
        <v>110</v>
      </c>
      <c r="B111" t="s">
        <v>133</v>
      </c>
      <c r="C111" t="s">
        <v>621</v>
      </c>
      <c r="D111" t="str">
        <f t="shared" si="1"/>
        <v>DIRECCIÓN CLIENTE 110</v>
      </c>
      <c r="E111" t="s">
        <v>1008</v>
      </c>
      <c r="F111" t="s">
        <v>1012</v>
      </c>
    </row>
    <row r="112" spans="1:6" x14ac:dyDescent="0.3">
      <c r="A112">
        <v>111</v>
      </c>
      <c r="B112" t="s">
        <v>134</v>
      </c>
      <c r="C112" t="s">
        <v>622</v>
      </c>
      <c r="D112" t="str">
        <f t="shared" si="1"/>
        <v>DIRECCIÓN CLIENTE 111</v>
      </c>
      <c r="E112" t="s">
        <v>1009</v>
      </c>
      <c r="F112" t="s">
        <v>1012</v>
      </c>
    </row>
    <row r="113" spans="1:6" x14ac:dyDescent="0.3">
      <c r="A113">
        <v>112</v>
      </c>
      <c r="B113" t="s">
        <v>135</v>
      </c>
      <c r="C113" t="s">
        <v>623</v>
      </c>
      <c r="D113" t="str">
        <f t="shared" si="1"/>
        <v>DIRECCIÓN CLIENTE 112</v>
      </c>
      <c r="E113" t="s">
        <v>1010</v>
      </c>
      <c r="F113" t="s">
        <v>1012</v>
      </c>
    </row>
    <row r="114" spans="1:6" x14ac:dyDescent="0.3">
      <c r="A114">
        <v>113</v>
      </c>
      <c r="B114" t="s">
        <v>136</v>
      </c>
      <c r="C114" t="s">
        <v>624</v>
      </c>
      <c r="D114" t="str">
        <f t="shared" si="1"/>
        <v>DIRECCIÓN CLIENTE 113</v>
      </c>
      <c r="E114" t="s">
        <v>1003</v>
      </c>
      <c r="F114" t="s">
        <v>1012</v>
      </c>
    </row>
    <row r="115" spans="1:6" x14ac:dyDescent="0.3">
      <c r="A115">
        <v>114</v>
      </c>
      <c r="B115" t="s">
        <v>137</v>
      </c>
      <c r="C115" t="s">
        <v>625</v>
      </c>
      <c r="D115" t="str">
        <f t="shared" si="1"/>
        <v>DIRECCIÓN CLIENTE 114</v>
      </c>
      <c r="E115" t="s">
        <v>1004</v>
      </c>
      <c r="F115" t="s">
        <v>1012</v>
      </c>
    </row>
    <row r="116" spans="1:6" x14ac:dyDescent="0.3">
      <c r="A116">
        <v>115</v>
      </c>
      <c r="B116" t="s">
        <v>138</v>
      </c>
      <c r="C116" t="s">
        <v>626</v>
      </c>
      <c r="D116" t="str">
        <f t="shared" si="1"/>
        <v>DIRECCIÓN CLIENTE 115</v>
      </c>
      <c r="E116" t="s">
        <v>1005</v>
      </c>
      <c r="F116" t="s">
        <v>1012</v>
      </c>
    </row>
    <row r="117" spans="1:6" x14ac:dyDescent="0.3">
      <c r="A117">
        <v>116</v>
      </c>
      <c r="B117" t="s">
        <v>139</v>
      </c>
      <c r="C117" t="s">
        <v>627</v>
      </c>
      <c r="D117" t="str">
        <f t="shared" si="1"/>
        <v>DIRECCIÓN CLIENTE 116</v>
      </c>
      <c r="E117" t="s">
        <v>1006</v>
      </c>
      <c r="F117" t="s">
        <v>1012</v>
      </c>
    </row>
    <row r="118" spans="1:6" x14ac:dyDescent="0.3">
      <c r="A118">
        <v>117</v>
      </c>
      <c r="B118" t="s">
        <v>140</v>
      </c>
      <c r="C118" t="s">
        <v>628</v>
      </c>
      <c r="D118" t="str">
        <f t="shared" si="1"/>
        <v>DIRECCIÓN CLIENTE 117</v>
      </c>
      <c r="E118" t="s">
        <v>1007</v>
      </c>
      <c r="F118" t="s">
        <v>1012</v>
      </c>
    </row>
    <row r="119" spans="1:6" x14ac:dyDescent="0.3">
      <c r="A119">
        <v>118</v>
      </c>
      <c r="B119" t="s">
        <v>141</v>
      </c>
      <c r="C119" t="s">
        <v>629</v>
      </c>
      <c r="D119" t="str">
        <f t="shared" si="1"/>
        <v>DIRECCIÓN CLIENTE 118</v>
      </c>
      <c r="E119" t="s">
        <v>1008</v>
      </c>
      <c r="F119" t="s">
        <v>1012</v>
      </c>
    </row>
    <row r="120" spans="1:6" x14ac:dyDescent="0.3">
      <c r="A120">
        <v>119</v>
      </c>
      <c r="B120" t="s">
        <v>142</v>
      </c>
      <c r="C120" t="s">
        <v>630</v>
      </c>
      <c r="D120" t="str">
        <f t="shared" si="1"/>
        <v>DIRECCIÓN CLIENTE 119</v>
      </c>
      <c r="E120" t="s">
        <v>1009</v>
      </c>
      <c r="F120" t="s">
        <v>1012</v>
      </c>
    </row>
    <row r="121" spans="1:6" x14ac:dyDescent="0.3">
      <c r="A121">
        <v>120</v>
      </c>
      <c r="B121" t="s">
        <v>143</v>
      </c>
      <c r="C121" t="s">
        <v>631</v>
      </c>
      <c r="D121" t="str">
        <f t="shared" si="1"/>
        <v>DIRECCIÓN CLIENTE 120</v>
      </c>
      <c r="E121" t="s">
        <v>1010</v>
      </c>
      <c r="F121" t="s">
        <v>1012</v>
      </c>
    </row>
    <row r="122" spans="1:6" x14ac:dyDescent="0.3">
      <c r="A122">
        <v>121</v>
      </c>
      <c r="B122" t="s">
        <v>144</v>
      </c>
      <c r="C122" t="s">
        <v>632</v>
      </c>
      <c r="D122" t="str">
        <f t="shared" si="1"/>
        <v>DIRECCIÓN CLIENTE 121</v>
      </c>
      <c r="E122" t="s">
        <v>1003</v>
      </c>
      <c r="F122" t="s">
        <v>1012</v>
      </c>
    </row>
    <row r="123" spans="1:6" x14ac:dyDescent="0.3">
      <c r="A123">
        <v>122</v>
      </c>
      <c r="B123" t="s">
        <v>145</v>
      </c>
      <c r="C123" t="s">
        <v>633</v>
      </c>
      <c r="D123" t="str">
        <f t="shared" si="1"/>
        <v>DIRECCIÓN CLIENTE 122</v>
      </c>
      <c r="E123" t="s">
        <v>1004</v>
      </c>
      <c r="F123" t="s">
        <v>1012</v>
      </c>
    </row>
    <row r="124" spans="1:6" x14ac:dyDescent="0.3">
      <c r="A124">
        <v>123</v>
      </c>
      <c r="B124" t="s">
        <v>146</v>
      </c>
      <c r="C124" t="s">
        <v>634</v>
      </c>
      <c r="D124" t="str">
        <f t="shared" si="1"/>
        <v>DIRECCIÓN CLIENTE 123</v>
      </c>
      <c r="E124" t="s">
        <v>1005</v>
      </c>
      <c r="F124" t="s">
        <v>1012</v>
      </c>
    </row>
    <row r="125" spans="1:6" x14ac:dyDescent="0.3">
      <c r="A125">
        <v>124</v>
      </c>
      <c r="B125" t="s">
        <v>147</v>
      </c>
      <c r="C125" t="s">
        <v>635</v>
      </c>
      <c r="D125" t="str">
        <f t="shared" si="1"/>
        <v>DIRECCIÓN CLIENTE 124</v>
      </c>
      <c r="E125" t="s">
        <v>1006</v>
      </c>
      <c r="F125" t="s">
        <v>1012</v>
      </c>
    </row>
    <row r="126" spans="1:6" x14ac:dyDescent="0.3">
      <c r="A126">
        <v>125</v>
      </c>
      <c r="B126" t="s">
        <v>148</v>
      </c>
      <c r="C126" t="s">
        <v>636</v>
      </c>
      <c r="D126" t="str">
        <f t="shared" si="1"/>
        <v>DIRECCIÓN CLIENTE 125</v>
      </c>
      <c r="E126" t="s">
        <v>1007</v>
      </c>
      <c r="F126" t="s">
        <v>1012</v>
      </c>
    </row>
    <row r="127" spans="1:6" x14ac:dyDescent="0.3">
      <c r="A127">
        <v>126</v>
      </c>
      <c r="B127" t="s">
        <v>149</v>
      </c>
      <c r="C127" t="s">
        <v>637</v>
      </c>
      <c r="D127" t="str">
        <f t="shared" si="1"/>
        <v>DIRECCIÓN CLIENTE 126</v>
      </c>
      <c r="E127" t="s">
        <v>1008</v>
      </c>
      <c r="F127" t="s">
        <v>1012</v>
      </c>
    </row>
    <row r="128" spans="1:6" x14ac:dyDescent="0.3">
      <c r="A128">
        <v>127</v>
      </c>
      <c r="B128" t="s">
        <v>150</v>
      </c>
      <c r="C128" t="s">
        <v>638</v>
      </c>
      <c r="D128" t="str">
        <f t="shared" si="1"/>
        <v>DIRECCIÓN CLIENTE 127</v>
      </c>
      <c r="E128" t="s">
        <v>1009</v>
      </c>
      <c r="F128" t="s">
        <v>1012</v>
      </c>
    </row>
    <row r="129" spans="1:6" x14ac:dyDescent="0.3">
      <c r="A129">
        <v>128</v>
      </c>
      <c r="B129" t="s">
        <v>151</v>
      </c>
      <c r="C129" t="s">
        <v>639</v>
      </c>
      <c r="D129" t="str">
        <f t="shared" si="1"/>
        <v>DIRECCIÓN CLIENTE 128</v>
      </c>
      <c r="E129" t="s">
        <v>1010</v>
      </c>
      <c r="F129" t="s">
        <v>1012</v>
      </c>
    </row>
    <row r="130" spans="1:6" x14ac:dyDescent="0.3">
      <c r="A130">
        <v>129</v>
      </c>
      <c r="B130" t="s">
        <v>152</v>
      </c>
      <c r="C130" t="s">
        <v>640</v>
      </c>
      <c r="D130" t="str">
        <f t="shared" si="1"/>
        <v>DIRECCIÓN CLIENTE 129</v>
      </c>
      <c r="E130" t="s">
        <v>1003</v>
      </c>
      <c r="F130" t="s">
        <v>1012</v>
      </c>
    </row>
    <row r="131" spans="1:6" x14ac:dyDescent="0.3">
      <c r="A131">
        <v>130</v>
      </c>
      <c r="B131" t="s">
        <v>153</v>
      </c>
      <c r="C131" t="s">
        <v>641</v>
      </c>
      <c r="D131" t="str">
        <f t="shared" ref="D131:D194" si="2">+"DIRECCIÓN CLIENTE "&amp;A131</f>
        <v>DIRECCIÓN CLIENTE 130</v>
      </c>
      <c r="E131" t="s">
        <v>1004</v>
      </c>
      <c r="F131" t="s">
        <v>1012</v>
      </c>
    </row>
    <row r="132" spans="1:6" x14ac:dyDescent="0.3">
      <c r="A132">
        <v>131</v>
      </c>
      <c r="B132" t="s">
        <v>154</v>
      </c>
      <c r="C132" t="s">
        <v>642</v>
      </c>
      <c r="D132" t="str">
        <f t="shared" si="2"/>
        <v>DIRECCIÓN CLIENTE 131</v>
      </c>
      <c r="E132" t="s">
        <v>1005</v>
      </c>
      <c r="F132" t="s">
        <v>1012</v>
      </c>
    </row>
    <row r="133" spans="1:6" x14ac:dyDescent="0.3">
      <c r="A133">
        <v>132</v>
      </c>
      <c r="B133" t="s">
        <v>155</v>
      </c>
      <c r="C133" t="s">
        <v>643</v>
      </c>
      <c r="D133" t="str">
        <f t="shared" si="2"/>
        <v>DIRECCIÓN CLIENTE 132</v>
      </c>
      <c r="E133" t="s">
        <v>1006</v>
      </c>
      <c r="F133" t="s">
        <v>1012</v>
      </c>
    </row>
    <row r="134" spans="1:6" x14ac:dyDescent="0.3">
      <c r="A134">
        <v>133</v>
      </c>
      <c r="B134" t="s">
        <v>156</v>
      </c>
      <c r="C134" t="s">
        <v>644</v>
      </c>
      <c r="D134" t="str">
        <f t="shared" si="2"/>
        <v>DIRECCIÓN CLIENTE 133</v>
      </c>
      <c r="E134" t="s">
        <v>1007</v>
      </c>
      <c r="F134" t="s">
        <v>1012</v>
      </c>
    </row>
    <row r="135" spans="1:6" x14ac:dyDescent="0.3">
      <c r="A135">
        <v>134</v>
      </c>
      <c r="B135" t="s">
        <v>157</v>
      </c>
      <c r="C135" t="s">
        <v>645</v>
      </c>
      <c r="D135" t="str">
        <f t="shared" si="2"/>
        <v>DIRECCIÓN CLIENTE 134</v>
      </c>
      <c r="E135" t="s">
        <v>1008</v>
      </c>
      <c r="F135" t="s">
        <v>1012</v>
      </c>
    </row>
    <row r="136" spans="1:6" x14ac:dyDescent="0.3">
      <c r="A136">
        <v>135</v>
      </c>
      <c r="B136" t="s">
        <v>158</v>
      </c>
      <c r="C136" t="s">
        <v>646</v>
      </c>
      <c r="D136" t="str">
        <f t="shared" si="2"/>
        <v>DIRECCIÓN CLIENTE 135</v>
      </c>
      <c r="E136" t="s">
        <v>1009</v>
      </c>
      <c r="F136" t="s">
        <v>1012</v>
      </c>
    </row>
    <row r="137" spans="1:6" x14ac:dyDescent="0.3">
      <c r="A137">
        <v>136</v>
      </c>
      <c r="B137" t="s">
        <v>159</v>
      </c>
      <c r="C137" t="s">
        <v>647</v>
      </c>
      <c r="D137" t="str">
        <f t="shared" si="2"/>
        <v>DIRECCIÓN CLIENTE 136</v>
      </c>
      <c r="E137" t="s">
        <v>1010</v>
      </c>
      <c r="F137" t="s">
        <v>1012</v>
      </c>
    </row>
    <row r="138" spans="1:6" x14ac:dyDescent="0.3">
      <c r="A138">
        <v>137</v>
      </c>
      <c r="B138" t="s">
        <v>160</v>
      </c>
      <c r="C138" t="s">
        <v>648</v>
      </c>
      <c r="D138" t="str">
        <f t="shared" si="2"/>
        <v>DIRECCIÓN CLIENTE 137</v>
      </c>
      <c r="E138" t="s">
        <v>1003</v>
      </c>
      <c r="F138" t="s">
        <v>1012</v>
      </c>
    </row>
    <row r="139" spans="1:6" x14ac:dyDescent="0.3">
      <c r="A139">
        <v>138</v>
      </c>
      <c r="B139" t="s">
        <v>161</v>
      </c>
      <c r="C139" t="s">
        <v>649</v>
      </c>
      <c r="D139" t="str">
        <f t="shared" si="2"/>
        <v>DIRECCIÓN CLIENTE 138</v>
      </c>
      <c r="E139" t="s">
        <v>1004</v>
      </c>
      <c r="F139" t="s">
        <v>1012</v>
      </c>
    </row>
    <row r="140" spans="1:6" x14ac:dyDescent="0.3">
      <c r="A140">
        <v>139</v>
      </c>
      <c r="B140" t="s">
        <v>162</v>
      </c>
      <c r="C140" t="s">
        <v>650</v>
      </c>
      <c r="D140" t="str">
        <f t="shared" si="2"/>
        <v>DIRECCIÓN CLIENTE 139</v>
      </c>
      <c r="E140" t="s">
        <v>1005</v>
      </c>
      <c r="F140" t="s">
        <v>1012</v>
      </c>
    </row>
    <row r="141" spans="1:6" x14ac:dyDescent="0.3">
      <c r="A141">
        <v>140</v>
      </c>
      <c r="B141" t="s">
        <v>163</v>
      </c>
      <c r="C141" t="s">
        <v>651</v>
      </c>
      <c r="D141" t="str">
        <f t="shared" si="2"/>
        <v>DIRECCIÓN CLIENTE 140</v>
      </c>
      <c r="E141" t="s">
        <v>1006</v>
      </c>
      <c r="F141" t="s">
        <v>1012</v>
      </c>
    </row>
    <row r="142" spans="1:6" x14ac:dyDescent="0.3">
      <c r="A142">
        <v>141</v>
      </c>
      <c r="B142" t="s">
        <v>164</v>
      </c>
      <c r="C142" t="s">
        <v>652</v>
      </c>
      <c r="D142" t="str">
        <f t="shared" si="2"/>
        <v>DIRECCIÓN CLIENTE 141</v>
      </c>
      <c r="E142" t="s">
        <v>1007</v>
      </c>
      <c r="F142" t="s">
        <v>1012</v>
      </c>
    </row>
    <row r="143" spans="1:6" x14ac:dyDescent="0.3">
      <c r="A143">
        <v>142</v>
      </c>
      <c r="B143" t="s">
        <v>165</v>
      </c>
      <c r="C143" t="s">
        <v>653</v>
      </c>
      <c r="D143" t="str">
        <f t="shared" si="2"/>
        <v>DIRECCIÓN CLIENTE 142</v>
      </c>
      <c r="E143" t="s">
        <v>1008</v>
      </c>
      <c r="F143" t="s">
        <v>1012</v>
      </c>
    </row>
    <row r="144" spans="1:6" x14ac:dyDescent="0.3">
      <c r="A144">
        <v>143</v>
      </c>
      <c r="B144" t="s">
        <v>166</v>
      </c>
      <c r="C144" t="s">
        <v>654</v>
      </c>
      <c r="D144" t="str">
        <f t="shared" si="2"/>
        <v>DIRECCIÓN CLIENTE 143</v>
      </c>
      <c r="E144" t="s">
        <v>1009</v>
      </c>
      <c r="F144" t="s">
        <v>1012</v>
      </c>
    </row>
    <row r="145" spans="1:6" x14ac:dyDescent="0.3">
      <c r="A145">
        <v>144</v>
      </c>
      <c r="B145" t="s">
        <v>167</v>
      </c>
      <c r="C145" t="s">
        <v>655</v>
      </c>
      <c r="D145" t="str">
        <f t="shared" si="2"/>
        <v>DIRECCIÓN CLIENTE 144</v>
      </c>
      <c r="E145" t="s">
        <v>1010</v>
      </c>
      <c r="F145" t="s">
        <v>1012</v>
      </c>
    </row>
    <row r="146" spans="1:6" x14ac:dyDescent="0.3">
      <c r="A146">
        <v>145</v>
      </c>
      <c r="B146" t="s">
        <v>168</v>
      </c>
      <c r="C146" t="s">
        <v>656</v>
      </c>
      <c r="D146" t="str">
        <f t="shared" si="2"/>
        <v>DIRECCIÓN CLIENTE 145</v>
      </c>
      <c r="E146" t="s">
        <v>1003</v>
      </c>
      <c r="F146" t="s">
        <v>1012</v>
      </c>
    </row>
    <row r="147" spans="1:6" x14ac:dyDescent="0.3">
      <c r="A147">
        <v>146</v>
      </c>
      <c r="B147" t="s">
        <v>169</v>
      </c>
      <c r="C147" t="s">
        <v>657</v>
      </c>
      <c r="D147" t="str">
        <f t="shared" si="2"/>
        <v>DIRECCIÓN CLIENTE 146</v>
      </c>
      <c r="E147" t="s">
        <v>1004</v>
      </c>
      <c r="F147" t="s">
        <v>1012</v>
      </c>
    </row>
    <row r="148" spans="1:6" x14ac:dyDescent="0.3">
      <c r="A148">
        <v>147</v>
      </c>
      <c r="B148" t="s">
        <v>170</v>
      </c>
      <c r="C148" t="s">
        <v>658</v>
      </c>
      <c r="D148" t="str">
        <f t="shared" si="2"/>
        <v>DIRECCIÓN CLIENTE 147</v>
      </c>
      <c r="E148" t="s">
        <v>1005</v>
      </c>
      <c r="F148" t="s">
        <v>1012</v>
      </c>
    </row>
    <row r="149" spans="1:6" x14ac:dyDescent="0.3">
      <c r="A149">
        <v>148</v>
      </c>
      <c r="B149" t="s">
        <v>171</v>
      </c>
      <c r="C149" t="s">
        <v>659</v>
      </c>
      <c r="D149" t="str">
        <f t="shared" si="2"/>
        <v>DIRECCIÓN CLIENTE 148</v>
      </c>
      <c r="E149" t="s">
        <v>1006</v>
      </c>
      <c r="F149" t="s">
        <v>1012</v>
      </c>
    </row>
    <row r="150" spans="1:6" x14ac:dyDescent="0.3">
      <c r="A150">
        <v>149</v>
      </c>
      <c r="B150" t="s">
        <v>172</v>
      </c>
      <c r="C150" t="s">
        <v>660</v>
      </c>
      <c r="D150" t="str">
        <f t="shared" si="2"/>
        <v>DIRECCIÓN CLIENTE 149</v>
      </c>
      <c r="E150" t="s">
        <v>1007</v>
      </c>
      <c r="F150" t="s">
        <v>1012</v>
      </c>
    </row>
    <row r="151" spans="1:6" x14ac:dyDescent="0.3">
      <c r="A151">
        <v>150</v>
      </c>
      <c r="B151" t="s">
        <v>173</v>
      </c>
      <c r="C151" t="s">
        <v>661</v>
      </c>
      <c r="D151" t="str">
        <f t="shared" si="2"/>
        <v>DIRECCIÓN CLIENTE 150</v>
      </c>
      <c r="E151" t="s">
        <v>1008</v>
      </c>
      <c r="F151" t="s">
        <v>1012</v>
      </c>
    </row>
    <row r="152" spans="1:6" x14ac:dyDescent="0.3">
      <c r="A152">
        <v>151</v>
      </c>
      <c r="B152" t="s">
        <v>174</v>
      </c>
      <c r="C152" t="s">
        <v>662</v>
      </c>
      <c r="D152" t="str">
        <f t="shared" si="2"/>
        <v>DIRECCIÓN CLIENTE 151</v>
      </c>
      <c r="E152" t="s">
        <v>1009</v>
      </c>
      <c r="F152" t="s">
        <v>1012</v>
      </c>
    </row>
    <row r="153" spans="1:6" x14ac:dyDescent="0.3">
      <c r="A153">
        <v>152</v>
      </c>
      <c r="B153" t="s">
        <v>175</v>
      </c>
      <c r="C153" t="s">
        <v>663</v>
      </c>
      <c r="D153" t="str">
        <f t="shared" si="2"/>
        <v>DIRECCIÓN CLIENTE 152</v>
      </c>
      <c r="E153" t="s">
        <v>1010</v>
      </c>
      <c r="F153" t="s">
        <v>1012</v>
      </c>
    </row>
    <row r="154" spans="1:6" x14ac:dyDescent="0.3">
      <c r="A154">
        <v>153</v>
      </c>
      <c r="B154" t="s">
        <v>176</v>
      </c>
      <c r="C154" t="s">
        <v>664</v>
      </c>
      <c r="D154" t="str">
        <f t="shared" si="2"/>
        <v>DIRECCIÓN CLIENTE 153</v>
      </c>
      <c r="E154" t="s">
        <v>1003</v>
      </c>
      <c r="F154" t="s">
        <v>1012</v>
      </c>
    </row>
    <row r="155" spans="1:6" x14ac:dyDescent="0.3">
      <c r="A155">
        <v>154</v>
      </c>
      <c r="B155" t="s">
        <v>177</v>
      </c>
      <c r="C155" t="s">
        <v>665</v>
      </c>
      <c r="D155" t="str">
        <f t="shared" si="2"/>
        <v>DIRECCIÓN CLIENTE 154</v>
      </c>
      <c r="E155" t="s">
        <v>1004</v>
      </c>
      <c r="F155" t="s">
        <v>1012</v>
      </c>
    </row>
    <row r="156" spans="1:6" x14ac:dyDescent="0.3">
      <c r="A156">
        <v>155</v>
      </c>
      <c r="B156" t="s">
        <v>178</v>
      </c>
      <c r="C156" t="s">
        <v>666</v>
      </c>
      <c r="D156" t="str">
        <f t="shared" si="2"/>
        <v>DIRECCIÓN CLIENTE 155</v>
      </c>
      <c r="E156" t="s">
        <v>1005</v>
      </c>
      <c r="F156" t="s">
        <v>1012</v>
      </c>
    </row>
    <row r="157" spans="1:6" x14ac:dyDescent="0.3">
      <c r="A157">
        <v>156</v>
      </c>
      <c r="B157" t="s">
        <v>179</v>
      </c>
      <c r="C157" t="s">
        <v>667</v>
      </c>
      <c r="D157" t="str">
        <f t="shared" si="2"/>
        <v>DIRECCIÓN CLIENTE 156</v>
      </c>
      <c r="E157" t="s">
        <v>1006</v>
      </c>
      <c r="F157" t="s">
        <v>1012</v>
      </c>
    </row>
    <row r="158" spans="1:6" x14ac:dyDescent="0.3">
      <c r="A158">
        <v>157</v>
      </c>
      <c r="B158" t="s">
        <v>180</v>
      </c>
      <c r="C158" t="s">
        <v>668</v>
      </c>
      <c r="D158" t="str">
        <f t="shared" si="2"/>
        <v>DIRECCIÓN CLIENTE 157</v>
      </c>
      <c r="E158" t="s">
        <v>1007</v>
      </c>
      <c r="F158" t="s">
        <v>1012</v>
      </c>
    </row>
    <row r="159" spans="1:6" x14ac:dyDescent="0.3">
      <c r="A159">
        <v>158</v>
      </c>
      <c r="B159" t="s">
        <v>181</v>
      </c>
      <c r="C159" t="s">
        <v>669</v>
      </c>
      <c r="D159" t="str">
        <f t="shared" si="2"/>
        <v>DIRECCIÓN CLIENTE 158</v>
      </c>
      <c r="E159" t="s">
        <v>1008</v>
      </c>
      <c r="F159" t="s">
        <v>1012</v>
      </c>
    </row>
    <row r="160" spans="1:6" x14ac:dyDescent="0.3">
      <c r="A160">
        <v>159</v>
      </c>
      <c r="B160" t="s">
        <v>182</v>
      </c>
      <c r="C160" t="s">
        <v>670</v>
      </c>
      <c r="D160" t="str">
        <f t="shared" si="2"/>
        <v>DIRECCIÓN CLIENTE 159</v>
      </c>
      <c r="E160" t="s">
        <v>1009</v>
      </c>
      <c r="F160" t="s">
        <v>1012</v>
      </c>
    </row>
    <row r="161" spans="1:6" x14ac:dyDescent="0.3">
      <c r="A161">
        <v>160</v>
      </c>
      <c r="B161" t="s">
        <v>183</v>
      </c>
      <c r="C161" t="s">
        <v>671</v>
      </c>
      <c r="D161" t="str">
        <f t="shared" si="2"/>
        <v>DIRECCIÓN CLIENTE 160</v>
      </c>
      <c r="E161" t="s">
        <v>1010</v>
      </c>
      <c r="F161" t="s">
        <v>1012</v>
      </c>
    </row>
    <row r="162" spans="1:6" x14ac:dyDescent="0.3">
      <c r="A162">
        <v>161</v>
      </c>
      <c r="B162" t="s">
        <v>184</v>
      </c>
      <c r="C162" t="s">
        <v>672</v>
      </c>
      <c r="D162" t="str">
        <f t="shared" si="2"/>
        <v>DIRECCIÓN CLIENTE 161</v>
      </c>
      <c r="E162" t="s">
        <v>1003</v>
      </c>
      <c r="F162" t="s">
        <v>1012</v>
      </c>
    </row>
    <row r="163" spans="1:6" x14ac:dyDescent="0.3">
      <c r="A163">
        <v>162</v>
      </c>
      <c r="B163" t="s">
        <v>185</v>
      </c>
      <c r="C163" t="s">
        <v>673</v>
      </c>
      <c r="D163" t="str">
        <f t="shared" si="2"/>
        <v>DIRECCIÓN CLIENTE 162</v>
      </c>
      <c r="E163" t="s">
        <v>1004</v>
      </c>
      <c r="F163" t="s">
        <v>1012</v>
      </c>
    </row>
    <row r="164" spans="1:6" x14ac:dyDescent="0.3">
      <c r="A164">
        <v>163</v>
      </c>
      <c r="B164" t="s">
        <v>186</v>
      </c>
      <c r="C164" t="s">
        <v>674</v>
      </c>
      <c r="D164" t="str">
        <f t="shared" si="2"/>
        <v>DIRECCIÓN CLIENTE 163</v>
      </c>
      <c r="E164" t="s">
        <v>1005</v>
      </c>
      <c r="F164" t="s">
        <v>1012</v>
      </c>
    </row>
    <row r="165" spans="1:6" x14ac:dyDescent="0.3">
      <c r="A165">
        <v>164</v>
      </c>
      <c r="B165" t="s">
        <v>187</v>
      </c>
      <c r="C165" t="s">
        <v>675</v>
      </c>
      <c r="D165" t="str">
        <f t="shared" si="2"/>
        <v>DIRECCIÓN CLIENTE 164</v>
      </c>
      <c r="E165" t="s">
        <v>1006</v>
      </c>
      <c r="F165" t="s">
        <v>1012</v>
      </c>
    </row>
    <row r="166" spans="1:6" x14ac:dyDescent="0.3">
      <c r="A166">
        <v>165</v>
      </c>
      <c r="B166" t="s">
        <v>188</v>
      </c>
      <c r="C166" t="s">
        <v>676</v>
      </c>
      <c r="D166" t="str">
        <f t="shared" si="2"/>
        <v>DIRECCIÓN CLIENTE 165</v>
      </c>
      <c r="E166" t="s">
        <v>1007</v>
      </c>
      <c r="F166" t="s">
        <v>1012</v>
      </c>
    </row>
    <row r="167" spans="1:6" x14ac:dyDescent="0.3">
      <c r="A167">
        <v>166</v>
      </c>
      <c r="B167" t="s">
        <v>189</v>
      </c>
      <c r="C167" t="s">
        <v>677</v>
      </c>
      <c r="D167" t="str">
        <f t="shared" si="2"/>
        <v>DIRECCIÓN CLIENTE 166</v>
      </c>
      <c r="E167" t="s">
        <v>1008</v>
      </c>
      <c r="F167" t="s">
        <v>1012</v>
      </c>
    </row>
    <row r="168" spans="1:6" x14ac:dyDescent="0.3">
      <c r="A168">
        <v>167</v>
      </c>
      <c r="B168" t="s">
        <v>190</v>
      </c>
      <c r="C168" t="s">
        <v>678</v>
      </c>
      <c r="D168" t="str">
        <f t="shared" si="2"/>
        <v>DIRECCIÓN CLIENTE 167</v>
      </c>
      <c r="E168" t="s">
        <v>1009</v>
      </c>
      <c r="F168" t="s">
        <v>1012</v>
      </c>
    </row>
    <row r="169" spans="1:6" x14ac:dyDescent="0.3">
      <c r="A169">
        <v>168</v>
      </c>
      <c r="B169" t="s">
        <v>191</v>
      </c>
      <c r="C169" t="s">
        <v>679</v>
      </c>
      <c r="D169" t="str">
        <f t="shared" si="2"/>
        <v>DIRECCIÓN CLIENTE 168</v>
      </c>
      <c r="E169" t="s">
        <v>1010</v>
      </c>
      <c r="F169" t="s">
        <v>1012</v>
      </c>
    </row>
    <row r="170" spans="1:6" x14ac:dyDescent="0.3">
      <c r="A170">
        <v>169</v>
      </c>
      <c r="B170" t="s">
        <v>192</v>
      </c>
      <c r="C170" t="s">
        <v>680</v>
      </c>
      <c r="D170" t="str">
        <f t="shared" si="2"/>
        <v>DIRECCIÓN CLIENTE 169</v>
      </c>
      <c r="E170" t="s">
        <v>1003</v>
      </c>
      <c r="F170" t="s">
        <v>1012</v>
      </c>
    </row>
    <row r="171" spans="1:6" x14ac:dyDescent="0.3">
      <c r="A171">
        <v>170</v>
      </c>
      <c r="B171" t="s">
        <v>193</v>
      </c>
      <c r="C171" t="s">
        <v>681</v>
      </c>
      <c r="D171" t="str">
        <f t="shared" si="2"/>
        <v>DIRECCIÓN CLIENTE 170</v>
      </c>
      <c r="E171" t="s">
        <v>1004</v>
      </c>
      <c r="F171" t="s">
        <v>1012</v>
      </c>
    </row>
    <row r="172" spans="1:6" x14ac:dyDescent="0.3">
      <c r="A172">
        <v>171</v>
      </c>
      <c r="B172" t="s">
        <v>194</v>
      </c>
      <c r="C172" t="s">
        <v>682</v>
      </c>
      <c r="D172" t="str">
        <f t="shared" si="2"/>
        <v>DIRECCIÓN CLIENTE 171</v>
      </c>
      <c r="E172" t="s">
        <v>1005</v>
      </c>
      <c r="F172" t="s">
        <v>1012</v>
      </c>
    </row>
    <row r="173" spans="1:6" x14ac:dyDescent="0.3">
      <c r="A173">
        <v>172</v>
      </c>
      <c r="B173" t="s">
        <v>195</v>
      </c>
      <c r="C173" t="s">
        <v>683</v>
      </c>
      <c r="D173" t="str">
        <f t="shared" si="2"/>
        <v>DIRECCIÓN CLIENTE 172</v>
      </c>
      <c r="E173" t="s">
        <v>1006</v>
      </c>
      <c r="F173" t="s">
        <v>1012</v>
      </c>
    </row>
    <row r="174" spans="1:6" x14ac:dyDescent="0.3">
      <c r="A174">
        <v>173</v>
      </c>
      <c r="B174" t="s">
        <v>196</v>
      </c>
      <c r="C174" t="s">
        <v>684</v>
      </c>
      <c r="D174" t="str">
        <f t="shared" si="2"/>
        <v>DIRECCIÓN CLIENTE 173</v>
      </c>
      <c r="E174" t="s">
        <v>1007</v>
      </c>
      <c r="F174" t="s">
        <v>1012</v>
      </c>
    </row>
    <row r="175" spans="1:6" x14ac:dyDescent="0.3">
      <c r="A175">
        <v>174</v>
      </c>
      <c r="B175" t="s">
        <v>197</v>
      </c>
      <c r="C175" t="s">
        <v>685</v>
      </c>
      <c r="D175" t="str">
        <f t="shared" si="2"/>
        <v>DIRECCIÓN CLIENTE 174</v>
      </c>
      <c r="E175" t="s">
        <v>1008</v>
      </c>
      <c r="F175" t="s">
        <v>1012</v>
      </c>
    </row>
    <row r="176" spans="1:6" x14ac:dyDescent="0.3">
      <c r="A176">
        <v>175</v>
      </c>
      <c r="B176" t="s">
        <v>198</v>
      </c>
      <c r="C176" t="s">
        <v>686</v>
      </c>
      <c r="D176" t="str">
        <f t="shared" si="2"/>
        <v>DIRECCIÓN CLIENTE 175</v>
      </c>
      <c r="E176" t="s">
        <v>1009</v>
      </c>
      <c r="F176" t="s">
        <v>1012</v>
      </c>
    </row>
    <row r="177" spans="1:6" x14ac:dyDescent="0.3">
      <c r="A177">
        <v>176</v>
      </c>
      <c r="B177" t="s">
        <v>199</v>
      </c>
      <c r="C177" t="s">
        <v>687</v>
      </c>
      <c r="D177" t="str">
        <f t="shared" si="2"/>
        <v>DIRECCIÓN CLIENTE 176</v>
      </c>
      <c r="E177" t="s">
        <v>1010</v>
      </c>
      <c r="F177" t="s">
        <v>1012</v>
      </c>
    </row>
    <row r="178" spans="1:6" x14ac:dyDescent="0.3">
      <c r="A178">
        <v>177</v>
      </c>
      <c r="B178" t="s">
        <v>200</v>
      </c>
      <c r="C178" t="s">
        <v>688</v>
      </c>
      <c r="D178" t="str">
        <f t="shared" si="2"/>
        <v>DIRECCIÓN CLIENTE 177</v>
      </c>
      <c r="E178" t="s">
        <v>1003</v>
      </c>
      <c r="F178" t="s">
        <v>1012</v>
      </c>
    </row>
    <row r="179" spans="1:6" x14ac:dyDescent="0.3">
      <c r="A179">
        <v>178</v>
      </c>
      <c r="B179" t="s">
        <v>201</v>
      </c>
      <c r="C179" t="s">
        <v>689</v>
      </c>
      <c r="D179" t="str">
        <f t="shared" si="2"/>
        <v>DIRECCIÓN CLIENTE 178</v>
      </c>
      <c r="E179" t="s">
        <v>1004</v>
      </c>
      <c r="F179" t="s">
        <v>1012</v>
      </c>
    </row>
    <row r="180" spans="1:6" x14ac:dyDescent="0.3">
      <c r="A180">
        <v>179</v>
      </c>
      <c r="B180" t="s">
        <v>202</v>
      </c>
      <c r="C180" t="s">
        <v>690</v>
      </c>
      <c r="D180" t="str">
        <f t="shared" si="2"/>
        <v>DIRECCIÓN CLIENTE 179</v>
      </c>
      <c r="E180" t="s">
        <v>1005</v>
      </c>
      <c r="F180" t="s">
        <v>1012</v>
      </c>
    </row>
    <row r="181" spans="1:6" x14ac:dyDescent="0.3">
      <c r="A181">
        <v>180</v>
      </c>
      <c r="B181" t="s">
        <v>203</v>
      </c>
      <c r="C181" t="s">
        <v>691</v>
      </c>
      <c r="D181" t="str">
        <f t="shared" si="2"/>
        <v>DIRECCIÓN CLIENTE 180</v>
      </c>
      <c r="E181" t="s">
        <v>1006</v>
      </c>
      <c r="F181" t="s">
        <v>1012</v>
      </c>
    </row>
    <row r="182" spans="1:6" x14ac:dyDescent="0.3">
      <c r="A182">
        <v>181</v>
      </c>
      <c r="B182" t="s">
        <v>204</v>
      </c>
      <c r="C182" t="s">
        <v>692</v>
      </c>
      <c r="D182" t="str">
        <f t="shared" si="2"/>
        <v>DIRECCIÓN CLIENTE 181</v>
      </c>
      <c r="E182" t="s">
        <v>1007</v>
      </c>
      <c r="F182" t="s">
        <v>1012</v>
      </c>
    </row>
    <row r="183" spans="1:6" x14ac:dyDescent="0.3">
      <c r="A183">
        <v>182</v>
      </c>
      <c r="B183" t="s">
        <v>205</v>
      </c>
      <c r="C183" t="s">
        <v>693</v>
      </c>
      <c r="D183" t="str">
        <f t="shared" si="2"/>
        <v>DIRECCIÓN CLIENTE 182</v>
      </c>
      <c r="E183" t="s">
        <v>1008</v>
      </c>
      <c r="F183" t="s">
        <v>1012</v>
      </c>
    </row>
    <row r="184" spans="1:6" x14ac:dyDescent="0.3">
      <c r="A184">
        <v>183</v>
      </c>
      <c r="B184" t="s">
        <v>206</v>
      </c>
      <c r="C184" t="s">
        <v>694</v>
      </c>
      <c r="D184" t="str">
        <f t="shared" si="2"/>
        <v>DIRECCIÓN CLIENTE 183</v>
      </c>
      <c r="E184" t="s">
        <v>1009</v>
      </c>
      <c r="F184" t="s">
        <v>1012</v>
      </c>
    </row>
    <row r="185" spans="1:6" x14ac:dyDescent="0.3">
      <c r="A185">
        <v>184</v>
      </c>
      <c r="B185" t="s">
        <v>207</v>
      </c>
      <c r="C185" t="s">
        <v>695</v>
      </c>
      <c r="D185" t="str">
        <f t="shared" si="2"/>
        <v>DIRECCIÓN CLIENTE 184</v>
      </c>
      <c r="E185" t="s">
        <v>1010</v>
      </c>
      <c r="F185" t="s">
        <v>1012</v>
      </c>
    </row>
    <row r="186" spans="1:6" x14ac:dyDescent="0.3">
      <c r="A186">
        <v>185</v>
      </c>
      <c r="B186" t="s">
        <v>208</v>
      </c>
      <c r="C186" t="s">
        <v>696</v>
      </c>
      <c r="D186" t="str">
        <f t="shared" si="2"/>
        <v>DIRECCIÓN CLIENTE 185</v>
      </c>
      <c r="E186" t="s">
        <v>1003</v>
      </c>
      <c r="F186" t="s">
        <v>1012</v>
      </c>
    </row>
    <row r="187" spans="1:6" x14ac:dyDescent="0.3">
      <c r="A187">
        <v>186</v>
      </c>
      <c r="B187" t="s">
        <v>209</v>
      </c>
      <c r="C187" t="s">
        <v>697</v>
      </c>
      <c r="D187" t="str">
        <f t="shared" si="2"/>
        <v>DIRECCIÓN CLIENTE 186</v>
      </c>
      <c r="E187" t="s">
        <v>1004</v>
      </c>
      <c r="F187" t="s">
        <v>1012</v>
      </c>
    </row>
    <row r="188" spans="1:6" x14ac:dyDescent="0.3">
      <c r="A188">
        <v>187</v>
      </c>
      <c r="B188" t="s">
        <v>210</v>
      </c>
      <c r="C188" t="s">
        <v>698</v>
      </c>
      <c r="D188" t="str">
        <f t="shared" si="2"/>
        <v>DIRECCIÓN CLIENTE 187</v>
      </c>
      <c r="E188" t="s">
        <v>1005</v>
      </c>
      <c r="F188" t="s">
        <v>1012</v>
      </c>
    </row>
    <row r="189" spans="1:6" x14ac:dyDescent="0.3">
      <c r="A189">
        <v>188</v>
      </c>
      <c r="B189" t="s">
        <v>211</v>
      </c>
      <c r="C189" t="s">
        <v>699</v>
      </c>
      <c r="D189" t="str">
        <f t="shared" si="2"/>
        <v>DIRECCIÓN CLIENTE 188</v>
      </c>
      <c r="E189" t="s">
        <v>1006</v>
      </c>
      <c r="F189" t="s">
        <v>1012</v>
      </c>
    </row>
    <row r="190" spans="1:6" x14ac:dyDescent="0.3">
      <c r="A190">
        <v>189</v>
      </c>
      <c r="B190" t="s">
        <v>212</v>
      </c>
      <c r="C190" t="s">
        <v>700</v>
      </c>
      <c r="D190" t="str">
        <f t="shared" si="2"/>
        <v>DIRECCIÓN CLIENTE 189</v>
      </c>
      <c r="E190" t="s">
        <v>1007</v>
      </c>
      <c r="F190" t="s">
        <v>1012</v>
      </c>
    </row>
    <row r="191" spans="1:6" x14ac:dyDescent="0.3">
      <c r="A191">
        <v>190</v>
      </c>
      <c r="B191" t="s">
        <v>213</v>
      </c>
      <c r="C191" t="s">
        <v>701</v>
      </c>
      <c r="D191" t="str">
        <f t="shared" si="2"/>
        <v>DIRECCIÓN CLIENTE 190</v>
      </c>
      <c r="E191" t="s">
        <v>1008</v>
      </c>
      <c r="F191" t="s">
        <v>1012</v>
      </c>
    </row>
    <row r="192" spans="1:6" x14ac:dyDescent="0.3">
      <c r="A192">
        <v>191</v>
      </c>
      <c r="B192" t="s">
        <v>214</v>
      </c>
      <c r="C192" t="s">
        <v>702</v>
      </c>
      <c r="D192" t="str">
        <f t="shared" si="2"/>
        <v>DIRECCIÓN CLIENTE 191</v>
      </c>
      <c r="E192" t="s">
        <v>1009</v>
      </c>
      <c r="F192" t="s">
        <v>1012</v>
      </c>
    </row>
    <row r="193" spans="1:6" x14ac:dyDescent="0.3">
      <c r="A193">
        <v>192</v>
      </c>
      <c r="B193" t="s">
        <v>215</v>
      </c>
      <c r="C193" t="s">
        <v>703</v>
      </c>
      <c r="D193" t="str">
        <f t="shared" si="2"/>
        <v>DIRECCIÓN CLIENTE 192</v>
      </c>
      <c r="E193" t="s">
        <v>1010</v>
      </c>
      <c r="F193" t="s">
        <v>1012</v>
      </c>
    </row>
    <row r="194" spans="1:6" x14ac:dyDescent="0.3">
      <c r="A194">
        <v>193</v>
      </c>
      <c r="B194" t="s">
        <v>216</v>
      </c>
      <c r="C194" t="s">
        <v>704</v>
      </c>
      <c r="D194" t="str">
        <f t="shared" si="2"/>
        <v>DIRECCIÓN CLIENTE 193</v>
      </c>
      <c r="E194" t="s">
        <v>1003</v>
      </c>
      <c r="F194" t="s">
        <v>1012</v>
      </c>
    </row>
    <row r="195" spans="1:6" x14ac:dyDescent="0.3">
      <c r="A195">
        <v>194</v>
      </c>
      <c r="B195" t="s">
        <v>217</v>
      </c>
      <c r="C195" t="s">
        <v>705</v>
      </c>
      <c r="D195" t="str">
        <f t="shared" ref="D195:D258" si="3">+"DIRECCIÓN CLIENTE "&amp;A195</f>
        <v>DIRECCIÓN CLIENTE 194</v>
      </c>
      <c r="E195" t="s">
        <v>1004</v>
      </c>
      <c r="F195" t="s">
        <v>1012</v>
      </c>
    </row>
    <row r="196" spans="1:6" x14ac:dyDescent="0.3">
      <c r="A196">
        <v>195</v>
      </c>
      <c r="B196" t="s">
        <v>218</v>
      </c>
      <c r="C196" t="s">
        <v>706</v>
      </c>
      <c r="D196" t="str">
        <f t="shared" si="3"/>
        <v>DIRECCIÓN CLIENTE 195</v>
      </c>
      <c r="E196" t="s">
        <v>1005</v>
      </c>
      <c r="F196" t="s">
        <v>1012</v>
      </c>
    </row>
    <row r="197" spans="1:6" x14ac:dyDescent="0.3">
      <c r="A197">
        <v>196</v>
      </c>
      <c r="B197" t="s">
        <v>219</v>
      </c>
      <c r="C197" t="s">
        <v>707</v>
      </c>
      <c r="D197" t="str">
        <f t="shared" si="3"/>
        <v>DIRECCIÓN CLIENTE 196</v>
      </c>
      <c r="E197" t="s">
        <v>1006</v>
      </c>
      <c r="F197" t="s">
        <v>1012</v>
      </c>
    </row>
    <row r="198" spans="1:6" x14ac:dyDescent="0.3">
      <c r="A198">
        <v>197</v>
      </c>
      <c r="B198" t="s">
        <v>220</v>
      </c>
      <c r="C198" t="s">
        <v>708</v>
      </c>
      <c r="D198" t="str">
        <f t="shared" si="3"/>
        <v>DIRECCIÓN CLIENTE 197</v>
      </c>
      <c r="E198" t="s">
        <v>1007</v>
      </c>
      <c r="F198" t="s">
        <v>1012</v>
      </c>
    </row>
    <row r="199" spans="1:6" x14ac:dyDescent="0.3">
      <c r="A199">
        <v>198</v>
      </c>
      <c r="B199" t="s">
        <v>221</v>
      </c>
      <c r="C199" t="s">
        <v>709</v>
      </c>
      <c r="D199" t="str">
        <f t="shared" si="3"/>
        <v>DIRECCIÓN CLIENTE 198</v>
      </c>
      <c r="E199" t="s">
        <v>1008</v>
      </c>
      <c r="F199" t="s">
        <v>1012</v>
      </c>
    </row>
    <row r="200" spans="1:6" x14ac:dyDescent="0.3">
      <c r="A200">
        <v>199</v>
      </c>
      <c r="B200" t="s">
        <v>222</v>
      </c>
      <c r="C200" t="s">
        <v>710</v>
      </c>
      <c r="D200" t="str">
        <f t="shared" si="3"/>
        <v>DIRECCIÓN CLIENTE 199</v>
      </c>
      <c r="E200" t="s">
        <v>1009</v>
      </c>
      <c r="F200" t="s">
        <v>1012</v>
      </c>
    </row>
    <row r="201" spans="1:6" x14ac:dyDescent="0.3">
      <c r="A201">
        <v>200</v>
      </c>
      <c r="B201" t="s">
        <v>223</v>
      </c>
      <c r="C201" t="s">
        <v>711</v>
      </c>
      <c r="D201" t="str">
        <f t="shared" si="3"/>
        <v>DIRECCIÓN CLIENTE 200</v>
      </c>
      <c r="E201" t="s">
        <v>1010</v>
      </c>
      <c r="F201" t="s">
        <v>1012</v>
      </c>
    </row>
    <row r="202" spans="1:6" x14ac:dyDescent="0.3">
      <c r="A202">
        <v>201</v>
      </c>
      <c r="B202" t="s">
        <v>224</v>
      </c>
      <c r="C202" t="s">
        <v>712</v>
      </c>
      <c r="D202" t="str">
        <f t="shared" si="3"/>
        <v>DIRECCIÓN CLIENTE 201</v>
      </c>
      <c r="E202" t="s">
        <v>1003</v>
      </c>
      <c r="F202" t="s">
        <v>1012</v>
      </c>
    </row>
    <row r="203" spans="1:6" x14ac:dyDescent="0.3">
      <c r="A203">
        <v>202</v>
      </c>
      <c r="B203" t="s">
        <v>225</v>
      </c>
      <c r="C203" t="s">
        <v>713</v>
      </c>
      <c r="D203" t="str">
        <f t="shared" si="3"/>
        <v>DIRECCIÓN CLIENTE 202</v>
      </c>
      <c r="E203" t="s">
        <v>1004</v>
      </c>
      <c r="F203" t="s">
        <v>1012</v>
      </c>
    </row>
    <row r="204" spans="1:6" x14ac:dyDescent="0.3">
      <c r="A204">
        <v>203</v>
      </c>
      <c r="B204" t="s">
        <v>226</v>
      </c>
      <c r="C204" t="s">
        <v>714</v>
      </c>
      <c r="D204" t="str">
        <f t="shared" si="3"/>
        <v>DIRECCIÓN CLIENTE 203</v>
      </c>
      <c r="E204" t="s">
        <v>1005</v>
      </c>
      <c r="F204" t="s">
        <v>1012</v>
      </c>
    </row>
    <row r="205" spans="1:6" x14ac:dyDescent="0.3">
      <c r="A205">
        <v>204</v>
      </c>
      <c r="B205" t="s">
        <v>227</v>
      </c>
      <c r="C205" t="s">
        <v>715</v>
      </c>
      <c r="D205" t="str">
        <f t="shared" si="3"/>
        <v>DIRECCIÓN CLIENTE 204</v>
      </c>
      <c r="E205" t="s">
        <v>1006</v>
      </c>
      <c r="F205" t="s">
        <v>1012</v>
      </c>
    </row>
    <row r="206" spans="1:6" x14ac:dyDescent="0.3">
      <c r="A206">
        <v>205</v>
      </c>
      <c r="B206" t="s">
        <v>228</v>
      </c>
      <c r="C206" t="s">
        <v>716</v>
      </c>
      <c r="D206" t="str">
        <f t="shared" si="3"/>
        <v>DIRECCIÓN CLIENTE 205</v>
      </c>
      <c r="E206" t="s">
        <v>1007</v>
      </c>
      <c r="F206" t="s">
        <v>1012</v>
      </c>
    </row>
    <row r="207" spans="1:6" x14ac:dyDescent="0.3">
      <c r="A207">
        <v>206</v>
      </c>
      <c r="B207" t="s">
        <v>229</v>
      </c>
      <c r="C207" t="s">
        <v>717</v>
      </c>
      <c r="D207" t="str">
        <f t="shared" si="3"/>
        <v>DIRECCIÓN CLIENTE 206</v>
      </c>
      <c r="E207" t="s">
        <v>1008</v>
      </c>
      <c r="F207" t="s">
        <v>1012</v>
      </c>
    </row>
    <row r="208" spans="1:6" x14ac:dyDescent="0.3">
      <c r="A208">
        <v>207</v>
      </c>
      <c r="B208" t="s">
        <v>230</v>
      </c>
      <c r="C208" t="s">
        <v>718</v>
      </c>
      <c r="D208" t="str">
        <f t="shared" si="3"/>
        <v>DIRECCIÓN CLIENTE 207</v>
      </c>
      <c r="E208" t="s">
        <v>1009</v>
      </c>
      <c r="F208" t="s">
        <v>1012</v>
      </c>
    </row>
    <row r="209" spans="1:6" x14ac:dyDescent="0.3">
      <c r="A209">
        <v>208</v>
      </c>
      <c r="B209" t="s">
        <v>231</v>
      </c>
      <c r="C209" t="s">
        <v>719</v>
      </c>
      <c r="D209" t="str">
        <f t="shared" si="3"/>
        <v>DIRECCIÓN CLIENTE 208</v>
      </c>
      <c r="E209" t="s">
        <v>1010</v>
      </c>
      <c r="F209" t="s">
        <v>1012</v>
      </c>
    </row>
    <row r="210" spans="1:6" x14ac:dyDescent="0.3">
      <c r="A210">
        <v>209</v>
      </c>
      <c r="B210" t="s">
        <v>232</v>
      </c>
      <c r="C210" t="s">
        <v>720</v>
      </c>
      <c r="D210" t="str">
        <f t="shared" si="3"/>
        <v>DIRECCIÓN CLIENTE 209</v>
      </c>
      <c r="E210" t="s">
        <v>1003</v>
      </c>
      <c r="F210" t="s">
        <v>1012</v>
      </c>
    </row>
    <row r="211" spans="1:6" x14ac:dyDescent="0.3">
      <c r="A211">
        <v>210</v>
      </c>
      <c r="B211" t="s">
        <v>233</v>
      </c>
      <c r="C211" t="s">
        <v>721</v>
      </c>
      <c r="D211" t="str">
        <f t="shared" si="3"/>
        <v>DIRECCIÓN CLIENTE 210</v>
      </c>
      <c r="E211" t="s">
        <v>1004</v>
      </c>
      <c r="F211" t="s">
        <v>1012</v>
      </c>
    </row>
    <row r="212" spans="1:6" x14ac:dyDescent="0.3">
      <c r="A212">
        <v>211</v>
      </c>
      <c r="B212" t="s">
        <v>234</v>
      </c>
      <c r="C212" t="s">
        <v>722</v>
      </c>
      <c r="D212" t="str">
        <f t="shared" si="3"/>
        <v>DIRECCIÓN CLIENTE 211</v>
      </c>
      <c r="E212" t="s">
        <v>1005</v>
      </c>
      <c r="F212" t="s">
        <v>1012</v>
      </c>
    </row>
    <row r="213" spans="1:6" x14ac:dyDescent="0.3">
      <c r="A213">
        <v>212</v>
      </c>
      <c r="B213" t="s">
        <v>235</v>
      </c>
      <c r="C213" t="s">
        <v>723</v>
      </c>
      <c r="D213" t="str">
        <f t="shared" si="3"/>
        <v>DIRECCIÓN CLIENTE 212</v>
      </c>
      <c r="E213" t="s">
        <v>1006</v>
      </c>
      <c r="F213" t="s">
        <v>1012</v>
      </c>
    </row>
    <row r="214" spans="1:6" x14ac:dyDescent="0.3">
      <c r="A214">
        <v>213</v>
      </c>
      <c r="B214" t="s">
        <v>236</v>
      </c>
      <c r="C214" t="s">
        <v>724</v>
      </c>
      <c r="D214" t="str">
        <f t="shared" si="3"/>
        <v>DIRECCIÓN CLIENTE 213</v>
      </c>
      <c r="E214" t="s">
        <v>1007</v>
      </c>
      <c r="F214" t="s">
        <v>1012</v>
      </c>
    </row>
    <row r="215" spans="1:6" x14ac:dyDescent="0.3">
      <c r="A215">
        <v>214</v>
      </c>
      <c r="B215" t="s">
        <v>237</v>
      </c>
      <c r="C215" t="s">
        <v>725</v>
      </c>
      <c r="D215" t="str">
        <f t="shared" si="3"/>
        <v>DIRECCIÓN CLIENTE 214</v>
      </c>
      <c r="E215" t="s">
        <v>1008</v>
      </c>
      <c r="F215" t="s">
        <v>1012</v>
      </c>
    </row>
    <row r="216" spans="1:6" x14ac:dyDescent="0.3">
      <c r="A216">
        <v>215</v>
      </c>
      <c r="B216" t="s">
        <v>238</v>
      </c>
      <c r="C216" t="s">
        <v>726</v>
      </c>
      <c r="D216" t="str">
        <f t="shared" si="3"/>
        <v>DIRECCIÓN CLIENTE 215</v>
      </c>
      <c r="E216" t="s">
        <v>1009</v>
      </c>
      <c r="F216" t="s">
        <v>1012</v>
      </c>
    </row>
    <row r="217" spans="1:6" x14ac:dyDescent="0.3">
      <c r="A217">
        <v>216</v>
      </c>
      <c r="B217" t="s">
        <v>239</v>
      </c>
      <c r="C217" t="s">
        <v>727</v>
      </c>
      <c r="D217" t="str">
        <f t="shared" si="3"/>
        <v>DIRECCIÓN CLIENTE 216</v>
      </c>
      <c r="E217" t="s">
        <v>1010</v>
      </c>
      <c r="F217" t="s">
        <v>1012</v>
      </c>
    </row>
    <row r="218" spans="1:6" x14ac:dyDescent="0.3">
      <c r="A218">
        <v>217</v>
      </c>
      <c r="B218" t="s">
        <v>240</v>
      </c>
      <c r="C218" t="s">
        <v>728</v>
      </c>
      <c r="D218" t="str">
        <f t="shared" si="3"/>
        <v>DIRECCIÓN CLIENTE 217</v>
      </c>
      <c r="E218" t="s">
        <v>1003</v>
      </c>
      <c r="F218" t="s">
        <v>1012</v>
      </c>
    </row>
    <row r="219" spans="1:6" x14ac:dyDescent="0.3">
      <c r="A219">
        <v>218</v>
      </c>
      <c r="B219" t="s">
        <v>241</v>
      </c>
      <c r="C219" t="s">
        <v>729</v>
      </c>
      <c r="D219" t="str">
        <f t="shared" si="3"/>
        <v>DIRECCIÓN CLIENTE 218</v>
      </c>
      <c r="E219" t="s">
        <v>1004</v>
      </c>
      <c r="F219" t="s">
        <v>1012</v>
      </c>
    </row>
    <row r="220" spans="1:6" x14ac:dyDescent="0.3">
      <c r="A220">
        <v>219</v>
      </c>
      <c r="B220" t="s">
        <v>242</v>
      </c>
      <c r="C220" t="s">
        <v>730</v>
      </c>
      <c r="D220" t="str">
        <f t="shared" si="3"/>
        <v>DIRECCIÓN CLIENTE 219</v>
      </c>
      <c r="E220" t="s">
        <v>1005</v>
      </c>
      <c r="F220" t="s">
        <v>1012</v>
      </c>
    </row>
    <row r="221" spans="1:6" x14ac:dyDescent="0.3">
      <c r="A221">
        <v>220</v>
      </c>
      <c r="B221" t="s">
        <v>243</v>
      </c>
      <c r="C221" t="s">
        <v>731</v>
      </c>
      <c r="D221" t="str">
        <f t="shared" si="3"/>
        <v>DIRECCIÓN CLIENTE 220</v>
      </c>
      <c r="E221" t="s">
        <v>1006</v>
      </c>
      <c r="F221" t="s">
        <v>1012</v>
      </c>
    </row>
    <row r="222" spans="1:6" x14ac:dyDescent="0.3">
      <c r="A222">
        <v>221</v>
      </c>
      <c r="B222" t="s">
        <v>244</v>
      </c>
      <c r="C222" t="s">
        <v>732</v>
      </c>
      <c r="D222" t="str">
        <f t="shared" si="3"/>
        <v>DIRECCIÓN CLIENTE 221</v>
      </c>
      <c r="E222" t="s">
        <v>1007</v>
      </c>
      <c r="F222" t="s">
        <v>1012</v>
      </c>
    </row>
    <row r="223" spans="1:6" x14ac:dyDescent="0.3">
      <c r="A223">
        <v>222</v>
      </c>
      <c r="B223" t="s">
        <v>245</v>
      </c>
      <c r="C223" t="s">
        <v>733</v>
      </c>
      <c r="D223" t="str">
        <f t="shared" si="3"/>
        <v>DIRECCIÓN CLIENTE 222</v>
      </c>
      <c r="E223" t="s">
        <v>1008</v>
      </c>
      <c r="F223" t="s">
        <v>1012</v>
      </c>
    </row>
    <row r="224" spans="1:6" x14ac:dyDescent="0.3">
      <c r="A224">
        <v>223</v>
      </c>
      <c r="B224" t="s">
        <v>246</v>
      </c>
      <c r="C224" t="s">
        <v>734</v>
      </c>
      <c r="D224" t="str">
        <f t="shared" si="3"/>
        <v>DIRECCIÓN CLIENTE 223</v>
      </c>
      <c r="E224" t="s">
        <v>1009</v>
      </c>
      <c r="F224" t="s">
        <v>1012</v>
      </c>
    </row>
    <row r="225" spans="1:6" x14ac:dyDescent="0.3">
      <c r="A225">
        <v>224</v>
      </c>
      <c r="B225" t="s">
        <v>247</v>
      </c>
      <c r="C225" t="s">
        <v>735</v>
      </c>
      <c r="D225" t="str">
        <f t="shared" si="3"/>
        <v>DIRECCIÓN CLIENTE 224</v>
      </c>
      <c r="E225" t="s">
        <v>1010</v>
      </c>
      <c r="F225" t="s">
        <v>1012</v>
      </c>
    </row>
    <row r="226" spans="1:6" x14ac:dyDescent="0.3">
      <c r="A226">
        <v>225</v>
      </c>
      <c r="B226" t="s">
        <v>248</v>
      </c>
      <c r="C226" t="s">
        <v>736</v>
      </c>
      <c r="D226" t="str">
        <f t="shared" si="3"/>
        <v>DIRECCIÓN CLIENTE 225</v>
      </c>
      <c r="E226" t="s">
        <v>1003</v>
      </c>
      <c r="F226" t="s">
        <v>1012</v>
      </c>
    </row>
    <row r="227" spans="1:6" x14ac:dyDescent="0.3">
      <c r="A227">
        <v>226</v>
      </c>
      <c r="B227" t="s">
        <v>249</v>
      </c>
      <c r="C227" t="s">
        <v>737</v>
      </c>
      <c r="D227" t="str">
        <f t="shared" si="3"/>
        <v>DIRECCIÓN CLIENTE 226</v>
      </c>
      <c r="E227" t="s">
        <v>1004</v>
      </c>
      <c r="F227" t="s">
        <v>1012</v>
      </c>
    </row>
    <row r="228" spans="1:6" x14ac:dyDescent="0.3">
      <c r="A228">
        <v>227</v>
      </c>
      <c r="B228" t="s">
        <v>250</v>
      </c>
      <c r="C228" t="s">
        <v>738</v>
      </c>
      <c r="D228" t="str">
        <f t="shared" si="3"/>
        <v>DIRECCIÓN CLIENTE 227</v>
      </c>
      <c r="E228" t="s">
        <v>1005</v>
      </c>
      <c r="F228" t="s">
        <v>1012</v>
      </c>
    </row>
    <row r="229" spans="1:6" x14ac:dyDescent="0.3">
      <c r="A229">
        <v>228</v>
      </c>
      <c r="B229" t="s">
        <v>251</v>
      </c>
      <c r="C229" t="s">
        <v>739</v>
      </c>
      <c r="D229" t="str">
        <f t="shared" si="3"/>
        <v>DIRECCIÓN CLIENTE 228</v>
      </c>
      <c r="E229" t="s">
        <v>1006</v>
      </c>
      <c r="F229" t="s">
        <v>1012</v>
      </c>
    </row>
    <row r="230" spans="1:6" x14ac:dyDescent="0.3">
      <c r="A230">
        <v>229</v>
      </c>
      <c r="B230" t="s">
        <v>252</v>
      </c>
      <c r="C230" t="s">
        <v>740</v>
      </c>
      <c r="D230" t="str">
        <f t="shared" si="3"/>
        <v>DIRECCIÓN CLIENTE 229</v>
      </c>
      <c r="E230" t="s">
        <v>1007</v>
      </c>
      <c r="F230" t="s">
        <v>1012</v>
      </c>
    </row>
    <row r="231" spans="1:6" x14ac:dyDescent="0.3">
      <c r="A231">
        <v>230</v>
      </c>
      <c r="B231" t="s">
        <v>253</v>
      </c>
      <c r="C231" t="s">
        <v>741</v>
      </c>
      <c r="D231" t="str">
        <f t="shared" si="3"/>
        <v>DIRECCIÓN CLIENTE 230</v>
      </c>
      <c r="E231" t="s">
        <v>1008</v>
      </c>
      <c r="F231" t="s">
        <v>1012</v>
      </c>
    </row>
    <row r="232" spans="1:6" x14ac:dyDescent="0.3">
      <c r="A232">
        <v>231</v>
      </c>
      <c r="B232" t="s">
        <v>254</v>
      </c>
      <c r="C232" t="s">
        <v>742</v>
      </c>
      <c r="D232" t="str">
        <f t="shared" si="3"/>
        <v>DIRECCIÓN CLIENTE 231</v>
      </c>
      <c r="E232" t="s">
        <v>1009</v>
      </c>
      <c r="F232" t="s">
        <v>1012</v>
      </c>
    </row>
    <row r="233" spans="1:6" x14ac:dyDescent="0.3">
      <c r="A233">
        <v>232</v>
      </c>
      <c r="B233" t="s">
        <v>255</v>
      </c>
      <c r="C233" t="s">
        <v>743</v>
      </c>
      <c r="D233" t="str">
        <f t="shared" si="3"/>
        <v>DIRECCIÓN CLIENTE 232</v>
      </c>
      <c r="E233" t="s">
        <v>1010</v>
      </c>
      <c r="F233" t="s">
        <v>1012</v>
      </c>
    </row>
    <row r="234" spans="1:6" x14ac:dyDescent="0.3">
      <c r="A234">
        <v>233</v>
      </c>
      <c r="B234" t="s">
        <v>256</v>
      </c>
      <c r="C234" t="s">
        <v>744</v>
      </c>
      <c r="D234" t="str">
        <f t="shared" si="3"/>
        <v>DIRECCIÓN CLIENTE 233</v>
      </c>
      <c r="E234" t="s">
        <v>1003</v>
      </c>
      <c r="F234" t="s">
        <v>1012</v>
      </c>
    </row>
    <row r="235" spans="1:6" x14ac:dyDescent="0.3">
      <c r="A235">
        <v>234</v>
      </c>
      <c r="B235" t="s">
        <v>257</v>
      </c>
      <c r="C235" t="s">
        <v>745</v>
      </c>
      <c r="D235" t="str">
        <f t="shared" si="3"/>
        <v>DIRECCIÓN CLIENTE 234</v>
      </c>
      <c r="E235" t="s">
        <v>1004</v>
      </c>
      <c r="F235" t="s">
        <v>1012</v>
      </c>
    </row>
    <row r="236" spans="1:6" x14ac:dyDescent="0.3">
      <c r="A236">
        <v>235</v>
      </c>
      <c r="B236" t="s">
        <v>258</v>
      </c>
      <c r="C236" t="s">
        <v>746</v>
      </c>
      <c r="D236" t="str">
        <f t="shared" si="3"/>
        <v>DIRECCIÓN CLIENTE 235</v>
      </c>
      <c r="E236" t="s">
        <v>1005</v>
      </c>
      <c r="F236" t="s">
        <v>1012</v>
      </c>
    </row>
    <row r="237" spans="1:6" x14ac:dyDescent="0.3">
      <c r="A237">
        <v>236</v>
      </c>
      <c r="B237" t="s">
        <v>259</v>
      </c>
      <c r="C237" t="s">
        <v>747</v>
      </c>
      <c r="D237" t="str">
        <f t="shared" si="3"/>
        <v>DIRECCIÓN CLIENTE 236</v>
      </c>
      <c r="E237" t="s">
        <v>1006</v>
      </c>
      <c r="F237" t="s">
        <v>1012</v>
      </c>
    </row>
    <row r="238" spans="1:6" x14ac:dyDescent="0.3">
      <c r="A238">
        <v>237</v>
      </c>
      <c r="B238" t="s">
        <v>260</v>
      </c>
      <c r="C238" t="s">
        <v>748</v>
      </c>
      <c r="D238" t="str">
        <f t="shared" si="3"/>
        <v>DIRECCIÓN CLIENTE 237</v>
      </c>
      <c r="E238" t="s">
        <v>1007</v>
      </c>
      <c r="F238" t="s">
        <v>1012</v>
      </c>
    </row>
    <row r="239" spans="1:6" x14ac:dyDescent="0.3">
      <c r="A239">
        <v>238</v>
      </c>
      <c r="B239" t="s">
        <v>261</v>
      </c>
      <c r="C239" t="s">
        <v>749</v>
      </c>
      <c r="D239" t="str">
        <f t="shared" si="3"/>
        <v>DIRECCIÓN CLIENTE 238</v>
      </c>
      <c r="E239" t="s">
        <v>1008</v>
      </c>
      <c r="F239" t="s">
        <v>1012</v>
      </c>
    </row>
    <row r="240" spans="1:6" x14ac:dyDescent="0.3">
      <c r="A240">
        <v>239</v>
      </c>
      <c r="B240" t="s">
        <v>262</v>
      </c>
      <c r="C240" t="s">
        <v>750</v>
      </c>
      <c r="D240" t="str">
        <f t="shared" si="3"/>
        <v>DIRECCIÓN CLIENTE 239</v>
      </c>
      <c r="E240" t="s">
        <v>1009</v>
      </c>
      <c r="F240" t="s">
        <v>1012</v>
      </c>
    </row>
    <row r="241" spans="1:6" x14ac:dyDescent="0.3">
      <c r="A241">
        <v>240</v>
      </c>
      <c r="B241" t="s">
        <v>263</v>
      </c>
      <c r="C241" t="s">
        <v>751</v>
      </c>
      <c r="D241" t="str">
        <f t="shared" si="3"/>
        <v>DIRECCIÓN CLIENTE 240</v>
      </c>
      <c r="E241" t="s">
        <v>1010</v>
      </c>
      <c r="F241" t="s">
        <v>1012</v>
      </c>
    </row>
    <row r="242" spans="1:6" x14ac:dyDescent="0.3">
      <c r="A242">
        <v>241</v>
      </c>
      <c r="B242" t="s">
        <v>264</v>
      </c>
      <c r="C242" t="s">
        <v>752</v>
      </c>
      <c r="D242" t="str">
        <f t="shared" si="3"/>
        <v>DIRECCIÓN CLIENTE 241</v>
      </c>
      <c r="E242" t="s">
        <v>1003</v>
      </c>
      <c r="F242" t="s">
        <v>1012</v>
      </c>
    </row>
    <row r="243" spans="1:6" x14ac:dyDescent="0.3">
      <c r="A243">
        <v>242</v>
      </c>
      <c r="B243" t="s">
        <v>265</v>
      </c>
      <c r="C243" t="s">
        <v>753</v>
      </c>
      <c r="D243" t="str">
        <f t="shared" si="3"/>
        <v>DIRECCIÓN CLIENTE 242</v>
      </c>
      <c r="E243" t="s">
        <v>1004</v>
      </c>
      <c r="F243" t="s">
        <v>1012</v>
      </c>
    </row>
    <row r="244" spans="1:6" x14ac:dyDescent="0.3">
      <c r="A244">
        <v>243</v>
      </c>
      <c r="B244" t="s">
        <v>266</v>
      </c>
      <c r="C244" t="s">
        <v>754</v>
      </c>
      <c r="D244" t="str">
        <f t="shared" si="3"/>
        <v>DIRECCIÓN CLIENTE 243</v>
      </c>
      <c r="E244" t="s">
        <v>1005</v>
      </c>
      <c r="F244" t="s">
        <v>1012</v>
      </c>
    </row>
    <row r="245" spans="1:6" x14ac:dyDescent="0.3">
      <c r="A245">
        <v>244</v>
      </c>
      <c r="B245" t="s">
        <v>267</v>
      </c>
      <c r="C245" t="s">
        <v>755</v>
      </c>
      <c r="D245" t="str">
        <f t="shared" si="3"/>
        <v>DIRECCIÓN CLIENTE 244</v>
      </c>
      <c r="E245" t="s">
        <v>1006</v>
      </c>
      <c r="F245" t="s">
        <v>1012</v>
      </c>
    </row>
    <row r="246" spans="1:6" x14ac:dyDescent="0.3">
      <c r="A246">
        <v>245</v>
      </c>
      <c r="B246" t="s">
        <v>268</v>
      </c>
      <c r="C246" t="s">
        <v>756</v>
      </c>
      <c r="D246" t="str">
        <f t="shared" si="3"/>
        <v>DIRECCIÓN CLIENTE 245</v>
      </c>
      <c r="E246" t="s">
        <v>1007</v>
      </c>
      <c r="F246" t="s">
        <v>1012</v>
      </c>
    </row>
    <row r="247" spans="1:6" x14ac:dyDescent="0.3">
      <c r="A247">
        <v>246</v>
      </c>
      <c r="B247" t="s">
        <v>269</v>
      </c>
      <c r="C247" t="s">
        <v>757</v>
      </c>
      <c r="D247" t="str">
        <f t="shared" si="3"/>
        <v>DIRECCIÓN CLIENTE 246</v>
      </c>
      <c r="E247" t="s">
        <v>1008</v>
      </c>
      <c r="F247" t="s">
        <v>1012</v>
      </c>
    </row>
    <row r="248" spans="1:6" x14ac:dyDescent="0.3">
      <c r="A248">
        <v>247</v>
      </c>
      <c r="B248" t="s">
        <v>270</v>
      </c>
      <c r="C248" t="s">
        <v>758</v>
      </c>
      <c r="D248" t="str">
        <f t="shared" si="3"/>
        <v>DIRECCIÓN CLIENTE 247</v>
      </c>
      <c r="E248" t="s">
        <v>1009</v>
      </c>
      <c r="F248" t="s">
        <v>1012</v>
      </c>
    </row>
    <row r="249" spans="1:6" x14ac:dyDescent="0.3">
      <c r="A249">
        <v>248</v>
      </c>
      <c r="B249" t="s">
        <v>271</v>
      </c>
      <c r="C249" t="s">
        <v>759</v>
      </c>
      <c r="D249" t="str">
        <f t="shared" si="3"/>
        <v>DIRECCIÓN CLIENTE 248</v>
      </c>
      <c r="E249" t="s">
        <v>1010</v>
      </c>
      <c r="F249" t="s">
        <v>1012</v>
      </c>
    </row>
    <row r="250" spans="1:6" x14ac:dyDescent="0.3">
      <c r="A250">
        <v>249</v>
      </c>
      <c r="B250" t="s">
        <v>272</v>
      </c>
      <c r="C250" t="s">
        <v>760</v>
      </c>
      <c r="D250" t="str">
        <f t="shared" si="3"/>
        <v>DIRECCIÓN CLIENTE 249</v>
      </c>
      <c r="E250" t="s">
        <v>1003</v>
      </c>
      <c r="F250" t="s">
        <v>1012</v>
      </c>
    </row>
    <row r="251" spans="1:6" x14ac:dyDescent="0.3">
      <c r="A251">
        <v>250</v>
      </c>
      <c r="B251" t="s">
        <v>273</v>
      </c>
      <c r="C251" t="s">
        <v>761</v>
      </c>
      <c r="D251" t="str">
        <f t="shared" si="3"/>
        <v>DIRECCIÓN CLIENTE 250</v>
      </c>
      <c r="E251" t="s">
        <v>1004</v>
      </c>
      <c r="F251" t="s">
        <v>1012</v>
      </c>
    </row>
    <row r="252" spans="1:6" x14ac:dyDescent="0.3">
      <c r="A252">
        <v>251</v>
      </c>
      <c r="B252" t="s">
        <v>274</v>
      </c>
      <c r="C252" t="s">
        <v>762</v>
      </c>
      <c r="D252" t="str">
        <f t="shared" si="3"/>
        <v>DIRECCIÓN CLIENTE 251</v>
      </c>
      <c r="E252" t="s">
        <v>1005</v>
      </c>
      <c r="F252" t="s">
        <v>1012</v>
      </c>
    </row>
    <row r="253" spans="1:6" x14ac:dyDescent="0.3">
      <c r="A253">
        <v>252</v>
      </c>
      <c r="B253" t="s">
        <v>275</v>
      </c>
      <c r="C253" t="s">
        <v>763</v>
      </c>
      <c r="D253" t="str">
        <f t="shared" si="3"/>
        <v>DIRECCIÓN CLIENTE 252</v>
      </c>
      <c r="E253" t="s">
        <v>1006</v>
      </c>
      <c r="F253" t="s">
        <v>1012</v>
      </c>
    </row>
    <row r="254" spans="1:6" x14ac:dyDescent="0.3">
      <c r="A254">
        <v>253</v>
      </c>
      <c r="B254" t="s">
        <v>276</v>
      </c>
      <c r="C254" t="s">
        <v>764</v>
      </c>
      <c r="D254" t="str">
        <f t="shared" si="3"/>
        <v>DIRECCIÓN CLIENTE 253</v>
      </c>
      <c r="E254" t="s">
        <v>1007</v>
      </c>
      <c r="F254" t="s">
        <v>1012</v>
      </c>
    </row>
    <row r="255" spans="1:6" x14ac:dyDescent="0.3">
      <c r="A255">
        <v>254</v>
      </c>
      <c r="B255" t="s">
        <v>277</v>
      </c>
      <c r="C255" t="s">
        <v>765</v>
      </c>
      <c r="D255" t="str">
        <f t="shared" si="3"/>
        <v>DIRECCIÓN CLIENTE 254</v>
      </c>
      <c r="E255" t="s">
        <v>1008</v>
      </c>
      <c r="F255" t="s">
        <v>1012</v>
      </c>
    </row>
    <row r="256" spans="1:6" x14ac:dyDescent="0.3">
      <c r="A256">
        <v>255</v>
      </c>
      <c r="B256" t="s">
        <v>278</v>
      </c>
      <c r="C256" t="s">
        <v>766</v>
      </c>
      <c r="D256" t="str">
        <f t="shared" si="3"/>
        <v>DIRECCIÓN CLIENTE 255</v>
      </c>
      <c r="E256" t="s">
        <v>1009</v>
      </c>
      <c r="F256" t="s">
        <v>1012</v>
      </c>
    </row>
    <row r="257" spans="1:6" x14ac:dyDescent="0.3">
      <c r="A257">
        <v>256</v>
      </c>
      <c r="B257" t="s">
        <v>279</v>
      </c>
      <c r="C257" t="s">
        <v>767</v>
      </c>
      <c r="D257" t="str">
        <f t="shared" si="3"/>
        <v>DIRECCIÓN CLIENTE 256</v>
      </c>
      <c r="E257" t="s">
        <v>1010</v>
      </c>
      <c r="F257" t="s">
        <v>1012</v>
      </c>
    </row>
    <row r="258" spans="1:6" x14ac:dyDescent="0.3">
      <c r="A258">
        <v>257</v>
      </c>
      <c r="B258" t="s">
        <v>280</v>
      </c>
      <c r="C258" t="s">
        <v>768</v>
      </c>
      <c r="D258" t="str">
        <f t="shared" si="3"/>
        <v>DIRECCIÓN CLIENTE 257</v>
      </c>
      <c r="E258" t="s">
        <v>1003</v>
      </c>
      <c r="F258" t="s">
        <v>1012</v>
      </c>
    </row>
    <row r="259" spans="1:6" x14ac:dyDescent="0.3">
      <c r="A259">
        <v>258</v>
      </c>
      <c r="B259" t="s">
        <v>281</v>
      </c>
      <c r="C259" t="s">
        <v>769</v>
      </c>
      <c r="D259" t="str">
        <f t="shared" ref="D259:D322" si="4">+"DIRECCIÓN CLIENTE "&amp;A259</f>
        <v>DIRECCIÓN CLIENTE 258</v>
      </c>
      <c r="E259" t="s">
        <v>1004</v>
      </c>
      <c r="F259" t="s">
        <v>1012</v>
      </c>
    </row>
    <row r="260" spans="1:6" x14ac:dyDescent="0.3">
      <c r="A260">
        <v>259</v>
      </c>
      <c r="B260" t="s">
        <v>282</v>
      </c>
      <c r="C260" t="s">
        <v>770</v>
      </c>
      <c r="D260" t="str">
        <f t="shared" si="4"/>
        <v>DIRECCIÓN CLIENTE 259</v>
      </c>
      <c r="E260" t="s">
        <v>1005</v>
      </c>
      <c r="F260" t="s">
        <v>1012</v>
      </c>
    </row>
    <row r="261" spans="1:6" x14ac:dyDescent="0.3">
      <c r="A261">
        <v>260</v>
      </c>
      <c r="B261" t="s">
        <v>283</v>
      </c>
      <c r="C261" t="s">
        <v>771</v>
      </c>
      <c r="D261" t="str">
        <f t="shared" si="4"/>
        <v>DIRECCIÓN CLIENTE 260</v>
      </c>
      <c r="E261" t="s">
        <v>1006</v>
      </c>
      <c r="F261" t="s">
        <v>1012</v>
      </c>
    </row>
    <row r="262" spans="1:6" x14ac:dyDescent="0.3">
      <c r="A262">
        <v>261</v>
      </c>
      <c r="B262" t="s">
        <v>284</v>
      </c>
      <c r="C262" t="s">
        <v>772</v>
      </c>
      <c r="D262" t="str">
        <f t="shared" si="4"/>
        <v>DIRECCIÓN CLIENTE 261</v>
      </c>
      <c r="E262" t="s">
        <v>1007</v>
      </c>
      <c r="F262" t="s">
        <v>1012</v>
      </c>
    </row>
    <row r="263" spans="1:6" x14ac:dyDescent="0.3">
      <c r="A263">
        <v>262</v>
      </c>
      <c r="B263" t="s">
        <v>285</v>
      </c>
      <c r="C263" t="s">
        <v>773</v>
      </c>
      <c r="D263" t="str">
        <f t="shared" si="4"/>
        <v>DIRECCIÓN CLIENTE 262</v>
      </c>
      <c r="E263" t="s">
        <v>1008</v>
      </c>
      <c r="F263" t="s">
        <v>1012</v>
      </c>
    </row>
    <row r="264" spans="1:6" x14ac:dyDescent="0.3">
      <c r="A264">
        <v>263</v>
      </c>
      <c r="B264" t="s">
        <v>286</v>
      </c>
      <c r="C264" t="s">
        <v>774</v>
      </c>
      <c r="D264" t="str">
        <f t="shared" si="4"/>
        <v>DIRECCIÓN CLIENTE 263</v>
      </c>
      <c r="E264" t="s">
        <v>1009</v>
      </c>
      <c r="F264" t="s">
        <v>1012</v>
      </c>
    </row>
    <row r="265" spans="1:6" x14ac:dyDescent="0.3">
      <c r="A265">
        <v>264</v>
      </c>
      <c r="B265" t="s">
        <v>287</v>
      </c>
      <c r="C265" t="s">
        <v>775</v>
      </c>
      <c r="D265" t="str">
        <f t="shared" si="4"/>
        <v>DIRECCIÓN CLIENTE 264</v>
      </c>
      <c r="E265" t="s">
        <v>1010</v>
      </c>
      <c r="F265" t="s">
        <v>1012</v>
      </c>
    </row>
    <row r="266" spans="1:6" x14ac:dyDescent="0.3">
      <c r="A266">
        <v>265</v>
      </c>
      <c r="B266" t="s">
        <v>288</v>
      </c>
      <c r="C266" t="s">
        <v>776</v>
      </c>
      <c r="D266" t="str">
        <f t="shared" si="4"/>
        <v>DIRECCIÓN CLIENTE 265</v>
      </c>
      <c r="E266" t="s">
        <v>1003</v>
      </c>
      <c r="F266" t="s">
        <v>1012</v>
      </c>
    </row>
    <row r="267" spans="1:6" x14ac:dyDescent="0.3">
      <c r="A267">
        <v>266</v>
      </c>
      <c r="B267" t="s">
        <v>289</v>
      </c>
      <c r="C267" t="s">
        <v>777</v>
      </c>
      <c r="D267" t="str">
        <f t="shared" si="4"/>
        <v>DIRECCIÓN CLIENTE 266</v>
      </c>
      <c r="E267" t="s">
        <v>1004</v>
      </c>
      <c r="F267" t="s">
        <v>1012</v>
      </c>
    </row>
    <row r="268" spans="1:6" x14ac:dyDescent="0.3">
      <c r="A268">
        <v>267</v>
      </c>
      <c r="B268" t="s">
        <v>290</v>
      </c>
      <c r="C268" t="s">
        <v>778</v>
      </c>
      <c r="D268" t="str">
        <f t="shared" si="4"/>
        <v>DIRECCIÓN CLIENTE 267</v>
      </c>
      <c r="E268" t="s">
        <v>1005</v>
      </c>
      <c r="F268" t="s">
        <v>1012</v>
      </c>
    </row>
    <row r="269" spans="1:6" x14ac:dyDescent="0.3">
      <c r="A269">
        <v>268</v>
      </c>
      <c r="B269" t="s">
        <v>291</v>
      </c>
      <c r="C269" t="s">
        <v>779</v>
      </c>
      <c r="D269" t="str">
        <f t="shared" si="4"/>
        <v>DIRECCIÓN CLIENTE 268</v>
      </c>
      <c r="E269" t="s">
        <v>1006</v>
      </c>
      <c r="F269" t="s">
        <v>1012</v>
      </c>
    </row>
    <row r="270" spans="1:6" x14ac:dyDescent="0.3">
      <c r="A270">
        <v>269</v>
      </c>
      <c r="B270" t="s">
        <v>292</v>
      </c>
      <c r="C270" t="s">
        <v>780</v>
      </c>
      <c r="D270" t="str">
        <f t="shared" si="4"/>
        <v>DIRECCIÓN CLIENTE 269</v>
      </c>
      <c r="E270" t="s">
        <v>1007</v>
      </c>
      <c r="F270" t="s">
        <v>1012</v>
      </c>
    </row>
    <row r="271" spans="1:6" x14ac:dyDescent="0.3">
      <c r="A271">
        <v>270</v>
      </c>
      <c r="B271" t="s">
        <v>293</v>
      </c>
      <c r="C271" t="s">
        <v>781</v>
      </c>
      <c r="D271" t="str">
        <f t="shared" si="4"/>
        <v>DIRECCIÓN CLIENTE 270</v>
      </c>
      <c r="E271" t="s">
        <v>1008</v>
      </c>
      <c r="F271" t="s">
        <v>1012</v>
      </c>
    </row>
    <row r="272" spans="1:6" x14ac:dyDescent="0.3">
      <c r="A272">
        <v>271</v>
      </c>
      <c r="B272" t="s">
        <v>294</v>
      </c>
      <c r="C272" t="s">
        <v>782</v>
      </c>
      <c r="D272" t="str">
        <f t="shared" si="4"/>
        <v>DIRECCIÓN CLIENTE 271</v>
      </c>
      <c r="E272" t="s">
        <v>1009</v>
      </c>
      <c r="F272" t="s">
        <v>1012</v>
      </c>
    </row>
    <row r="273" spans="1:6" x14ac:dyDescent="0.3">
      <c r="A273">
        <v>272</v>
      </c>
      <c r="B273" t="s">
        <v>295</v>
      </c>
      <c r="C273" t="s">
        <v>783</v>
      </c>
      <c r="D273" t="str">
        <f t="shared" si="4"/>
        <v>DIRECCIÓN CLIENTE 272</v>
      </c>
      <c r="E273" t="s">
        <v>1010</v>
      </c>
      <c r="F273" t="s">
        <v>1012</v>
      </c>
    </row>
    <row r="274" spans="1:6" x14ac:dyDescent="0.3">
      <c r="A274">
        <v>273</v>
      </c>
      <c r="B274" t="s">
        <v>296</v>
      </c>
      <c r="C274" t="s">
        <v>784</v>
      </c>
      <c r="D274" t="str">
        <f t="shared" si="4"/>
        <v>DIRECCIÓN CLIENTE 273</v>
      </c>
      <c r="E274" t="s">
        <v>1003</v>
      </c>
      <c r="F274" t="s">
        <v>1012</v>
      </c>
    </row>
    <row r="275" spans="1:6" x14ac:dyDescent="0.3">
      <c r="A275">
        <v>274</v>
      </c>
      <c r="B275" t="s">
        <v>297</v>
      </c>
      <c r="C275" t="s">
        <v>785</v>
      </c>
      <c r="D275" t="str">
        <f t="shared" si="4"/>
        <v>DIRECCIÓN CLIENTE 274</v>
      </c>
      <c r="E275" t="s">
        <v>1004</v>
      </c>
      <c r="F275" t="s">
        <v>1012</v>
      </c>
    </row>
    <row r="276" spans="1:6" x14ac:dyDescent="0.3">
      <c r="A276">
        <v>275</v>
      </c>
      <c r="B276" t="s">
        <v>298</v>
      </c>
      <c r="C276" t="s">
        <v>786</v>
      </c>
      <c r="D276" t="str">
        <f t="shared" si="4"/>
        <v>DIRECCIÓN CLIENTE 275</v>
      </c>
      <c r="E276" t="s">
        <v>1005</v>
      </c>
      <c r="F276" t="s">
        <v>1012</v>
      </c>
    </row>
    <row r="277" spans="1:6" x14ac:dyDescent="0.3">
      <c r="A277">
        <v>276</v>
      </c>
      <c r="B277" t="s">
        <v>299</v>
      </c>
      <c r="C277" t="s">
        <v>787</v>
      </c>
      <c r="D277" t="str">
        <f t="shared" si="4"/>
        <v>DIRECCIÓN CLIENTE 276</v>
      </c>
      <c r="E277" t="s">
        <v>1006</v>
      </c>
      <c r="F277" t="s">
        <v>1012</v>
      </c>
    </row>
    <row r="278" spans="1:6" x14ac:dyDescent="0.3">
      <c r="A278">
        <v>277</v>
      </c>
      <c r="B278" t="s">
        <v>300</v>
      </c>
      <c r="C278" t="s">
        <v>788</v>
      </c>
      <c r="D278" t="str">
        <f t="shared" si="4"/>
        <v>DIRECCIÓN CLIENTE 277</v>
      </c>
      <c r="E278" t="s">
        <v>1007</v>
      </c>
      <c r="F278" t="s">
        <v>1012</v>
      </c>
    </row>
    <row r="279" spans="1:6" x14ac:dyDescent="0.3">
      <c r="A279">
        <v>278</v>
      </c>
      <c r="B279" t="s">
        <v>301</v>
      </c>
      <c r="C279" t="s">
        <v>789</v>
      </c>
      <c r="D279" t="str">
        <f t="shared" si="4"/>
        <v>DIRECCIÓN CLIENTE 278</v>
      </c>
      <c r="E279" t="s">
        <v>1008</v>
      </c>
      <c r="F279" t="s">
        <v>1012</v>
      </c>
    </row>
    <row r="280" spans="1:6" x14ac:dyDescent="0.3">
      <c r="A280">
        <v>279</v>
      </c>
      <c r="B280" t="s">
        <v>302</v>
      </c>
      <c r="C280" t="s">
        <v>790</v>
      </c>
      <c r="D280" t="str">
        <f t="shared" si="4"/>
        <v>DIRECCIÓN CLIENTE 279</v>
      </c>
      <c r="E280" t="s">
        <v>1009</v>
      </c>
      <c r="F280" t="s">
        <v>1012</v>
      </c>
    </row>
    <row r="281" spans="1:6" x14ac:dyDescent="0.3">
      <c r="A281">
        <v>280</v>
      </c>
      <c r="B281" t="s">
        <v>303</v>
      </c>
      <c r="C281" t="s">
        <v>791</v>
      </c>
      <c r="D281" t="str">
        <f t="shared" si="4"/>
        <v>DIRECCIÓN CLIENTE 280</v>
      </c>
      <c r="E281" t="s">
        <v>1010</v>
      </c>
      <c r="F281" t="s">
        <v>1012</v>
      </c>
    </row>
    <row r="282" spans="1:6" x14ac:dyDescent="0.3">
      <c r="A282">
        <v>281</v>
      </c>
      <c r="B282" t="s">
        <v>304</v>
      </c>
      <c r="C282" t="s">
        <v>792</v>
      </c>
      <c r="D282" t="str">
        <f t="shared" si="4"/>
        <v>DIRECCIÓN CLIENTE 281</v>
      </c>
      <c r="E282" t="s">
        <v>1003</v>
      </c>
      <c r="F282" t="s">
        <v>1012</v>
      </c>
    </row>
    <row r="283" spans="1:6" x14ac:dyDescent="0.3">
      <c r="A283">
        <v>282</v>
      </c>
      <c r="B283" t="s">
        <v>305</v>
      </c>
      <c r="C283" t="s">
        <v>793</v>
      </c>
      <c r="D283" t="str">
        <f t="shared" si="4"/>
        <v>DIRECCIÓN CLIENTE 282</v>
      </c>
      <c r="E283" t="s">
        <v>1004</v>
      </c>
      <c r="F283" t="s">
        <v>1012</v>
      </c>
    </row>
    <row r="284" spans="1:6" x14ac:dyDescent="0.3">
      <c r="A284">
        <v>283</v>
      </c>
      <c r="B284" t="s">
        <v>306</v>
      </c>
      <c r="C284" t="s">
        <v>794</v>
      </c>
      <c r="D284" t="str">
        <f t="shared" si="4"/>
        <v>DIRECCIÓN CLIENTE 283</v>
      </c>
      <c r="E284" t="s">
        <v>1005</v>
      </c>
      <c r="F284" t="s">
        <v>1012</v>
      </c>
    </row>
    <row r="285" spans="1:6" x14ac:dyDescent="0.3">
      <c r="A285">
        <v>284</v>
      </c>
      <c r="B285" t="s">
        <v>307</v>
      </c>
      <c r="C285" t="s">
        <v>795</v>
      </c>
      <c r="D285" t="str">
        <f t="shared" si="4"/>
        <v>DIRECCIÓN CLIENTE 284</v>
      </c>
      <c r="E285" t="s">
        <v>1006</v>
      </c>
      <c r="F285" t="s">
        <v>1012</v>
      </c>
    </row>
    <row r="286" spans="1:6" x14ac:dyDescent="0.3">
      <c r="A286">
        <v>285</v>
      </c>
      <c r="B286" t="s">
        <v>308</v>
      </c>
      <c r="C286" t="s">
        <v>796</v>
      </c>
      <c r="D286" t="str">
        <f t="shared" si="4"/>
        <v>DIRECCIÓN CLIENTE 285</v>
      </c>
      <c r="E286" t="s">
        <v>1007</v>
      </c>
      <c r="F286" t="s">
        <v>1012</v>
      </c>
    </row>
    <row r="287" spans="1:6" x14ac:dyDescent="0.3">
      <c r="A287">
        <v>286</v>
      </c>
      <c r="B287" t="s">
        <v>309</v>
      </c>
      <c r="C287" t="s">
        <v>797</v>
      </c>
      <c r="D287" t="str">
        <f t="shared" si="4"/>
        <v>DIRECCIÓN CLIENTE 286</v>
      </c>
      <c r="E287" t="s">
        <v>1008</v>
      </c>
      <c r="F287" t="s">
        <v>1012</v>
      </c>
    </row>
    <row r="288" spans="1:6" x14ac:dyDescent="0.3">
      <c r="A288">
        <v>287</v>
      </c>
      <c r="B288" t="s">
        <v>310</v>
      </c>
      <c r="C288" t="s">
        <v>798</v>
      </c>
      <c r="D288" t="str">
        <f t="shared" si="4"/>
        <v>DIRECCIÓN CLIENTE 287</v>
      </c>
      <c r="E288" t="s">
        <v>1009</v>
      </c>
      <c r="F288" t="s">
        <v>1012</v>
      </c>
    </row>
    <row r="289" spans="1:6" x14ac:dyDescent="0.3">
      <c r="A289">
        <v>288</v>
      </c>
      <c r="B289" t="s">
        <v>311</v>
      </c>
      <c r="C289" t="s">
        <v>799</v>
      </c>
      <c r="D289" t="str">
        <f t="shared" si="4"/>
        <v>DIRECCIÓN CLIENTE 288</v>
      </c>
      <c r="E289" t="s">
        <v>1010</v>
      </c>
      <c r="F289" t="s">
        <v>1012</v>
      </c>
    </row>
    <row r="290" spans="1:6" x14ac:dyDescent="0.3">
      <c r="A290">
        <v>289</v>
      </c>
      <c r="B290" t="s">
        <v>312</v>
      </c>
      <c r="C290" t="s">
        <v>800</v>
      </c>
      <c r="D290" t="str">
        <f t="shared" si="4"/>
        <v>DIRECCIÓN CLIENTE 289</v>
      </c>
      <c r="E290" t="s">
        <v>1003</v>
      </c>
      <c r="F290" t="s">
        <v>1012</v>
      </c>
    </row>
    <row r="291" spans="1:6" x14ac:dyDescent="0.3">
      <c r="A291">
        <v>290</v>
      </c>
      <c r="B291" t="s">
        <v>313</v>
      </c>
      <c r="C291" t="s">
        <v>801</v>
      </c>
      <c r="D291" t="str">
        <f t="shared" si="4"/>
        <v>DIRECCIÓN CLIENTE 290</v>
      </c>
      <c r="E291" t="s">
        <v>1004</v>
      </c>
      <c r="F291" t="s">
        <v>1012</v>
      </c>
    </row>
    <row r="292" spans="1:6" x14ac:dyDescent="0.3">
      <c r="A292">
        <v>291</v>
      </c>
      <c r="B292" t="s">
        <v>314</v>
      </c>
      <c r="C292" t="s">
        <v>802</v>
      </c>
      <c r="D292" t="str">
        <f t="shared" si="4"/>
        <v>DIRECCIÓN CLIENTE 291</v>
      </c>
      <c r="E292" t="s">
        <v>1005</v>
      </c>
      <c r="F292" t="s">
        <v>1012</v>
      </c>
    </row>
    <row r="293" spans="1:6" x14ac:dyDescent="0.3">
      <c r="A293">
        <v>292</v>
      </c>
      <c r="B293" t="s">
        <v>315</v>
      </c>
      <c r="C293" t="s">
        <v>803</v>
      </c>
      <c r="D293" t="str">
        <f t="shared" si="4"/>
        <v>DIRECCIÓN CLIENTE 292</v>
      </c>
      <c r="E293" t="s">
        <v>1006</v>
      </c>
      <c r="F293" t="s">
        <v>1012</v>
      </c>
    </row>
    <row r="294" spans="1:6" x14ac:dyDescent="0.3">
      <c r="A294">
        <v>293</v>
      </c>
      <c r="B294" t="s">
        <v>316</v>
      </c>
      <c r="C294" t="s">
        <v>804</v>
      </c>
      <c r="D294" t="str">
        <f t="shared" si="4"/>
        <v>DIRECCIÓN CLIENTE 293</v>
      </c>
      <c r="E294" t="s">
        <v>1007</v>
      </c>
      <c r="F294" t="s">
        <v>1012</v>
      </c>
    </row>
    <row r="295" spans="1:6" x14ac:dyDescent="0.3">
      <c r="A295">
        <v>294</v>
      </c>
      <c r="B295" t="s">
        <v>317</v>
      </c>
      <c r="C295" t="s">
        <v>805</v>
      </c>
      <c r="D295" t="str">
        <f t="shared" si="4"/>
        <v>DIRECCIÓN CLIENTE 294</v>
      </c>
      <c r="E295" t="s">
        <v>1008</v>
      </c>
      <c r="F295" t="s">
        <v>1012</v>
      </c>
    </row>
    <row r="296" spans="1:6" x14ac:dyDescent="0.3">
      <c r="A296">
        <v>295</v>
      </c>
      <c r="B296" t="s">
        <v>318</v>
      </c>
      <c r="C296" t="s">
        <v>806</v>
      </c>
      <c r="D296" t="str">
        <f t="shared" si="4"/>
        <v>DIRECCIÓN CLIENTE 295</v>
      </c>
      <c r="E296" t="s">
        <v>1009</v>
      </c>
      <c r="F296" t="s">
        <v>1012</v>
      </c>
    </row>
    <row r="297" spans="1:6" x14ac:dyDescent="0.3">
      <c r="A297">
        <v>296</v>
      </c>
      <c r="B297" t="s">
        <v>319</v>
      </c>
      <c r="C297" t="s">
        <v>807</v>
      </c>
      <c r="D297" t="str">
        <f t="shared" si="4"/>
        <v>DIRECCIÓN CLIENTE 296</v>
      </c>
      <c r="E297" t="s">
        <v>1010</v>
      </c>
      <c r="F297" t="s">
        <v>1012</v>
      </c>
    </row>
    <row r="298" spans="1:6" x14ac:dyDescent="0.3">
      <c r="A298">
        <v>297</v>
      </c>
      <c r="B298" t="s">
        <v>320</v>
      </c>
      <c r="C298" t="s">
        <v>808</v>
      </c>
      <c r="D298" t="str">
        <f t="shared" si="4"/>
        <v>DIRECCIÓN CLIENTE 297</v>
      </c>
      <c r="E298" t="s">
        <v>1003</v>
      </c>
      <c r="F298" t="s">
        <v>1012</v>
      </c>
    </row>
    <row r="299" spans="1:6" x14ac:dyDescent="0.3">
      <c r="A299">
        <v>298</v>
      </c>
      <c r="B299" t="s">
        <v>321</v>
      </c>
      <c r="C299" t="s">
        <v>809</v>
      </c>
      <c r="D299" t="str">
        <f t="shared" si="4"/>
        <v>DIRECCIÓN CLIENTE 298</v>
      </c>
      <c r="E299" t="s">
        <v>1004</v>
      </c>
      <c r="F299" t="s">
        <v>1012</v>
      </c>
    </row>
    <row r="300" spans="1:6" x14ac:dyDescent="0.3">
      <c r="A300">
        <v>299</v>
      </c>
      <c r="B300" t="s">
        <v>322</v>
      </c>
      <c r="C300" t="s">
        <v>810</v>
      </c>
      <c r="D300" t="str">
        <f t="shared" si="4"/>
        <v>DIRECCIÓN CLIENTE 299</v>
      </c>
      <c r="E300" t="s">
        <v>1005</v>
      </c>
      <c r="F300" t="s">
        <v>1012</v>
      </c>
    </row>
    <row r="301" spans="1:6" x14ac:dyDescent="0.3">
      <c r="A301">
        <v>300</v>
      </c>
      <c r="B301" t="s">
        <v>323</v>
      </c>
      <c r="C301" t="s">
        <v>811</v>
      </c>
      <c r="D301" t="str">
        <f t="shared" si="4"/>
        <v>DIRECCIÓN CLIENTE 300</v>
      </c>
      <c r="E301" t="s">
        <v>1006</v>
      </c>
      <c r="F301" t="s">
        <v>1012</v>
      </c>
    </row>
    <row r="302" spans="1:6" x14ac:dyDescent="0.3">
      <c r="A302">
        <v>301</v>
      </c>
      <c r="B302" t="s">
        <v>324</v>
      </c>
      <c r="C302" t="s">
        <v>812</v>
      </c>
      <c r="D302" t="str">
        <f t="shared" si="4"/>
        <v>DIRECCIÓN CLIENTE 301</v>
      </c>
      <c r="E302" t="s">
        <v>1007</v>
      </c>
      <c r="F302" t="s">
        <v>1012</v>
      </c>
    </row>
    <row r="303" spans="1:6" x14ac:dyDescent="0.3">
      <c r="A303">
        <v>302</v>
      </c>
      <c r="B303" t="s">
        <v>325</v>
      </c>
      <c r="C303" t="s">
        <v>813</v>
      </c>
      <c r="D303" t="str">
        <f t="shared" si="4"/>
        <v>DIRECCIÓN CLIENTE 302</v>
      </c>
      <c r="E303" t="s">
        <v>1008</v>
      </c>
      <c r="F303" t="s">
        <v>1012</v>
      </c>
    </row>
    <row r="304" spans="1:6" x14ac:dyDescent="0.3">
      <c r="A304">
        <v>303</v>
      </c>
      <c r="B304" t="s">
        <v>326</v>
      </c>
      <c r="C304" t="s">
        <v>814</v>
      </c>
      <c r="D304" t="str">
        <f t="shared" si="4"/>
        <v>DIRECCIÓN CLIENTE 303</v>
      </c>
      <c r="E304" t="s">
        <v>1009</v>
      </c>
      <c r="F304" t="s">
        <v>1012</v>
      </c>
    </row>
    <row r="305" spans="1:6" x14ac:dyDescent="0.3">
      <c r="A305">
        <v>304</v>
      </c>
      <c r="B305" t="s">
        <v>327</v>
      </c>
      <c r="C305" t="s">
        <v>815</v>
      </c>
      <c r="D305" t="str">
        <f t="shared" si="4"/>
        <v>DIRECCIÓN CLIENTE 304</v>
      </c>
      <c r="E305" t="s">
        <v>1010</v>
      </c>
      <c r="F305" t="s">
        <v>1012</v>
      </c>
    </row>
    <row r="306" spans="1:6" x14ac:dyDescent="0.3">
      <c r="A306">
        <v>305</v>
      </c>
      <c r="B306" t="s">
        <v>328</v>
      </c>
      <c r="C306" t="s">
        <v>816</v>
      </c>
      <c r="D306" t="str">
        <f t="shared" si="4"/>
        <v>DIRECCIÓN CLIENTE 305</v>
      </c>
      <c r="E306" t="s">
        <v>1003</v>
      </c>
      <c r="F306" t="s">
        <v>1012</v>
      </c>
    </row>
    <row r="307" spans="1:6" x14ac:dyDescent="0.3">
      <c r="A307">
        <v>306</v>
      </c>
      <c r="B307" t="s">
        <v>329</v>
      </c>
      <c r="C307" t="s">
        <v>817</v>
      </c>
      <c r="D307" t="str">
        <f t="shared" si="4"/>
        <v>DIRECCIÓN CLIENTE 306</v>
      </c>
      <c r="E307" t="s">
        <v>1004</v>
      </c>
      <c r="F307" t="s">
        <v>1012</v>
      </c>
    </row>
    <row r="308" spans="1:6" x14ac:dyDescent="0.3">
      <c r="A308">
        <v>307</v>
      </c>
      <c r="B308" t="s">
        <v>330</v>
      </c>
      <c r="C308" t="s">
        <v>818</v>
      </c>
      <c r="D308" t="str">
        <f t="shared" si="4"/>
        <v>DIRECCIÓN CLIENTE 307</v>
      </c>
      <c r="E308" t="s">
        <v>1005</v>
      </c>
      <c r="F308" t="s">
        <v>1012</v>
      </c>
    </row>
    <row r="309" spans="1:6" x14ac:dyDescent="0.3">
      <c r="A309">
        <v>308</v>
      </c>
      <c r="B309" t="s">
        <v>331</v>
      </c>
      <c r="C309" t="s">
        <v>819</v>
      </c>
      <c r="D309" t="str">
        <f t="shared" si="4"/>
        <v>DIRECCIÓN CLIENTE 308</v>
      </c>
      <c r="E309" t="s">
        <v>1006</v>
      </c>
      <c r="F309" t="s">
        <v>1012</v>
      </c>
    </row>
    <row r="310" spans="1:6" x14ac:dyDescent="0.3">
      <c r="A310">
        <v>309</v>
      </c>
      <c r="B310" t="s">
        <v>332</v>
      </c>
      <c r="C310" t="s">
        <v>820</v>
      </c>
      <c r="D310" t="str">
        <f t="shared" si="4"/>
        <v>DIRECCIÓN CLIENTE 309</v>
      </c>
      <c r="E310" t="s">
        <v>1007</v>
      </c>
      <c r="F310" t="s">
        <v>1012</v>
      </c>
    </row>
    <row r="311" spans="1:6" x14ac:dyDescent="0.3">
      <c r="A311">
        <v>310</v>
      </c>
      <c r="B311" t="s">
        <v>333</v>
      </c>
      <c r="C311" t="s">
        <v>821</v>
      </c>
      <c r="D311" t="str">
        <f t="shared" si="4"/>
        <v>DIRECCIÓN CLIENTE 310</v>
      </c>
      <c r="E311" t="s">
        <v>1008</v>
      </c>
      <c r="F311" t="s">
        <v>1012</v>
      </c>
    </row>
    <row r="312" spans="1:6" x14ac:dyDescent="0.3">
      <c r="A312">
        <v>311</v>
      </c>
      <c r="B312" t="s">
        <v>334</v>
      </c>
      <c r="C312" t="s">
        <v>822</v>
      </c>
      <c r="D312" t="str">
        <f t="shared" si="4"/>
        <v>DIRECCIÓN CLIENTE 311</v>
      </c>
      <c r="E312" t="s">
        <v>1009</v>
      </c>
      <c r="F312" t="s">
        <v>1012</v>
      </c>
    </row>
    <row r="313" spans="1:6" x14ac:dyDescent="0.3">
      <c r="A313">
        <v>312</v>
      </c>
      <c r="B313" t="s">
        <v>335</v>
      </c>
      <c r="C313" t="s">
        <v>823</v>
      </c>
      <c r="D313" t="str">
        <f t="shared" si="4"/>
        <v>DIRECCIÓN CLIENTE 312</v>
      </c>
      <c r="E313" t="s">
        <v>1010</v>
      </c>
      <c r="F313" t="s">
        <v>1012</v>
      </c>
    </row>
    <row r="314" spans="1:6" x14ac:dyDescent="0.3">
      <c r="A314">
        <v>313</v>
      </c>
      <c r="B314" t="s">
        <v>336</v>
      </c>
      <c r="C314" t="s">
        <v>824</v>
      </c>
      <c r="D314" t="str">
        <f t="shared" si="4"/>
        <v>DIRECCIÓN CLIENTE 313</v>
      </c>
      <c r="E314" t="s">
        <v>1003</v>
      </c>
      <c r="F314" t="s">
        <v>1012</v>
      </c>
    </row>
    <row r="315" spans="1:6" x14ac:dyDescent="0.3">
      <c r="A315">
        <v>314</v>
      </c>
      <c r="B315" t="s">
        <v>337</v>
      </c>
      <c r="C315" t="s">
        <v>825</v>
      </c>
      <c r="D315" t="str">
        <f t="shared" si="4"/>
        <v>DIRECCIÓN CLIENTE 314</v>
      </c>
      <c r="E315" t="s">
        <v>1004</v>
      </c>
      <c r="F315" t="s">
        <v>1012</v>
      </c>
    </row>
    <row r="316" spans="1:6" x14ac:dyDescent="0.3">
      <c r="A316">
        <v>315</v>
      </c>
      <c r="B316" t="s">
        <v>338</v>
      </c>
      <c r="C316" t="s">
        <v>826</v>
      </c>
      <c r="D316" t="str">
        <f t="shared" si="4"/>
        <v>DIRECCIÓN CLIENTE 315</v>
      </c>
      <c r="E316" t="s">
        <v>1005</v>
      </c>
      <c r="F316" t="s">
        <v>1012</v>
      </c>
    </row>
    <row r="317" spans="1:6" x14ac:dyDescent="0.3">
      <c r="A317">
        <v>316</v>
      </c>
      <c r="B317" t="s">
        <v>339</v>
      </c>
      <c r="C317" t="s">
        <v>827</v>
      </c>
      <c r="D317" t="str">
        <f t="shared" si="4"/>
        <v>DIRECCIÓN CLIENTE 316</v>
      </c>
      <c r="E317" t="s">
        <v>1006</v>
      </c>
      <c r="F317" t="s">
        <v>1012</v>
      </c>
    </row>
    <row r="318" spans="1:6" x14ac:dyDescent="0.3">
      <c r="A318">
        <v>317</v>
      </c>
      <c r="B318" t="s">
        <v>340</v>
      </c>
      <c r="C318" t="s">
        <v>828</v>
      </c>
      <c r="D318" t="str">
        <f t="shared" si="4"/>
        <v>DIRECCIÓN CLIENTE 317</v>
      </c>
      <c r="E318" t="s">
        <v>1007</v>
      </c>
      <c r="F318" t="s">
        <v>1012</v>
      </c>
    </row>
    <row r="319" spans="1:6" x14ac:dyDescent="0.3">
      <c r="A319">
        <v>318</v>
      </c>
      <c r="B319" t="s">
        <v>341</v>
      </c>
      <c r="C319" t="s">
        <v>829</v>
      </c>
      <c r="D319" t="str">
        <f t="shared" si="4"/>
        <v>DIRECCIÓN CLIENTE 318</v>
      </c>
      <c r="E319" t="s">
        <v>1008</v>
      </c>
      <c r="F319" t="s">
        <v>1012</v>
      </c>
    </row>
    <row r="320" spans="1:6" x14ac:dyDescent="0.3">
      <c r="A320">
        <v>319</v>
      </c>
      <c r="B320" t="s">
        <v>342</v>
      </c>
      <c r="C320" t="s">
        <v>830</v>
      </c>
      <c r="D320" t="str">
        <f t="shared" si="4"/>
        <v>DIRECCIÓN CLIENTE 319</v>
      </c>
      <c r="E320" t="s">
        <v>1009</v>
      </c>
      <c r="F320" t="s">
        <v>1012</v>
      </c>
    </row>
    <row r="321" spans="1:6" x14ac:dyDescent="0.3">
      <c r="A321">
        <v>320</v>
      </c>
      <c r="B321" t="s">
        <v>343</v>
      </c>
      <c r="C321" t="s">
        <v>831</v>
      </c>
      <c r="D321" t="str">
        <f t="shared" si="4"/>
        <v>DIRECCIÓN CLIENTE 320</v>
      </c>
      <c r="E321" t="s">
        <v>1010</v>
      </c>
      <c r="F321" t="s">
        <v>1012</v>
      </c>
    </row>
    <row r="322" spans="1:6" x14ac:dyDescent="0.3">
      <c r="A322">
        <v>321</v>
      </c>
      <c r="B322" t="s">
        <v>344</v>
      </c>
      <c r="C322" t="s">
        <v>832</v>
      </c>
      <c r="D322" t="str">
        <f t="shared" si="4"/>
        <v>DIRECCIÓN CLIENTE 321</v>
      </c>
      <c r="E322" t="s">
        <v>1003</v>
      </c>
      <c r="F322" t="s">
        <v>1012</v>
      </c>
    </row>
    <row r="323" spans="1:6" x14ac:dyDescent="0.3">
      <c r="A323">
        <v>322</v>
      </c>
      <c r="B323" t="s">
        <v>345</v>
      </c>
      <c r="C323" t="s">
        <v>833</v>
      </c>
      <c r="D323" t="str">
        <f t="shared" ref="D323:D386" si="5">+"DIRECCIÓN CLIENTE "&amp;A323</f>
        <v>DIRECCIÓN CLIENTE 322</v>
      </c>
      <c r="E323" t="s">
        <v>1004</v>
      </c>
      <c r="F323" t="s">
        <v>1012</v>
      </c>
    </row>
    <row r="324" spans="1:6" x14ac:dyDescent="0.3">
      <c r="A324">
        <v>323</v>
      </c>
      <c r="B324" t="s">
        <v>346</v>
      </c>
      <c r="C324" t="s">
        <v>834</v>
      </c>
      <c r="D324" t="str">
        <f t="shared" si="5"/>
        <v>DIRECCIÓN CLIENTE 323</v>
      </c>
      <c r="E324" t="s">
        <v>1005</v>
      </c>
      <c r="F324" t="s">
        <v>1012</v>
      </c>
    </row>
    <row r="325" spans="1:6" x14ac:dyDescent="0.3">
      <c r="A325">
        <v>324</v>
      </c>
      <c r="B325" t="s">
        <v>347</v>
      </c>
      <c r="C325" t="s">
        <v>835</v>
      </c>
      <c r="D325" t="str">
        <f t="shared" si="5"/>
        <v>DIRECCIÓN CLIENTE 324</v>
      </c>
      <c r="E325" t="s">
        <v>1006</v>
      </c>
      <c r="F325" t="s">
        <v>1012</v>
      </c>
    </row>
    <row r="326" spans="1:6" x14ac:dyDescent="0.3">
      <c r="A326">
        <v>325</v>
      </c>
      <c r="B326" t="s">
        <v>348</v>
      </c>
      <c r="C326" t="s">
        <v>836</v>
      </c>
      <c r="D326" t="str">
        <f t="shared" si="5"/>
        <v>DIRECCIÓN CLIENTE 325</v>
      </c>
      <c r="E326" t="s">
        <v>1007</v>
      </c>
      <c r="F326" t="s">
        <v>1012</v>
      </c>
    </row>
    <row r="327" spans="1:6" x14ac:dyDescent="0.3">
      <c r="A327">
        <v>326</v>
      </c>
      <c r="B327" t="s">
        <v>349</v>
      </c>
      <c r="C327" t="s">
        <v>837</v>
      </c>
      <c r="D327" t="str">
        <f t="shared" si="5"/>
        <v>DIRECCIÓN CLIENTE 326</v>
      </c>
      <c r="E327" t="s">
        <v>1008</v>
      </c>
      <c r="F327" t="s">
        <v>1012</v>
      </c>
    </row>
    <row r="328" spans="1:6" x14ac:dyDescent="0.3">
      <c r="A328">
        <v>327</v>
      </c>
      <c r="B328" t="s">
        <v>350</v>
      </c>
      <c r="C328" t="s">
        <v>838</v>
      </c>
      <c r="D328" t="str">
        <f t="shared" si="5"/>
        <v>DIRECCIÓN CLIENTE 327</v>
      </c>
      <c r="E328" t="s">
        <v>1009</v>
      </c>
      <c r="F328" t="s">
        <v>1012</v>
      </c>
    </row>
    <row r="329" spans="1:6" x14ac:dyDescent="0.3">
      <c r="A329">
        <v>328</v>
      </c>
      <c r="B329" t="s">
        <v>351</v>
      </c>
      <c r="C329" t="s">
        <v>839</v>
      </c>
      <c r="D329" t="str">
        <f t="shared" si="5"/>
        <v>DIRECCIÓN CLIENTE 328</v>
      </c>
      <c r="E329" t="s">
        <v>1010</v>
      </c>
      <c r="F329" t="s">
        <v>1012</v>
      </c>
    </row>
    <row r="330" spans="1:6" x14ac:dyDescent="0.3">
      <c r="A330">
        <v>329</v>
      </c>
      <c r="B330" t="s">
        <v>352</v>
      </c>
      <c r="C330" t="s">
        <v>840</v>
      </c>
      <c r="D330" t="str">
        <f t="shared" si="5"/>
        <v>DIRECCIÓN CLIENTE 329</v>
      </c>
      <c r="E330" t="s">
        <v>1003</v>
      </c>
      <c r="F330" t="s">
        <v>1012</v>
      </c>
    </row>
    <row r="331" spans="1:6" x14ac:dyDescent="0.3">
      <c r="A331">
        <v>330</v>
      </c>
      <c r="B331" t="s">
        <v>353</v>
      </c>
      <c r="C331" t="s">
        <v>841</v>
      </c>
      <c r="D331" t="str">
        <f t="shared" si="5"/>
        <v>DIRECCIÓN CLIENTE 330</v>
      </c>
      <c r="E331" t="s">
        <v>1004</v>
      </c>
      <c r="F331" t="s">
        <v>1012</v>
      </c>
    </row>
    <row r="332" spans="1:6" x14ac:dyDescent="0.3">
      <c r="A332">
        <v>331</v>
      </c>
      <c r="B332" t="s">
        <v>354</v>
      </c>
      <c r="C332" t="s">
        <v>842</v>
      </c>
      <c r="D332" t="str">
        <f t="shared" si="5"/>
        <v>DIRECCIÓN CLIENTE 331</v>
      </c>
      <c r="E332" t="s">
        <v>1005</v>
      </c>
      <c r="F332" t="s">
        <v>1012</v>
      </c>
    </row>
    <row r="333" spans="1:6" x14ac:dyDescent="0.3">
      <c r="A333">
        <v>332</v>
      </c>
      <c r="B333" t="s">
        <v>355</v>
      </c>
      <c r="C333" t="s">
        <v>843</v>
      </c>
      <c r="D333" t="str">
        <f t="shared" si="5"/>
        <v>DIRECCIÓN CLIENTE 332</v>
      </c>
      <c r="E333" t="s">
        <v>1006</v>
      </c>
      <c r="F333" t="s">
        <v>1012</v>
      </c>
    </row>
    <row r="334" spans="1:6" x14ac:dyDescent="0.3">
      <c r="A334">
        <v>333</v>
      </c>
      <c r="B334" t="s">
        <v>356</v>
      </c>
      <c r="C334" t="s">
        <v>844</v>
      </c>
      <c r="D334" t="str">
        <f t="shared" si="5"/>
        <v>DIRECCIÓN CLIENTE 333</v>
      </c>
      <c r="E334" t="s">
        <v>1007</v>
      </c>
      <c r="F334" t="s">
        <v>1012</v>
      </c>
    </row>
    <row r="335" spans="1:6" x14ac:dyDescent="0.3">
      <c r="A335">
        <v>334</v>
      </c>
      <c r="B335" t="s">
        <v>357</v>
      </c>
      <c r="C335" t="s">
        <v>845</v>
      </c>
      <c r="D335" t="str">
        <f t="shared" si="5"/>
        <v>DIRECCIÓN CLIENTE 334</v>
      </c>
      <c r="E335" t="s">
        <v>1008</v>
      </c>
      <c r="F335" t="s">
        <v>1012</v>
      </c>
    </row>
    <row r="336" spans="1:6" x14ac:dyDescent="0.3">
      <c r="A336">
        <v>335</v>
      </c>
      <c r="B336" t="s">
        <v>358</v>
      </c>
      <c r="C336" t="s">
        <v>846</v>
      </c>
      <c r="D336" t="str">
        <f t="shared" si="5"/>
        <v>DIRECCIÓN CLIENTE 335</v>
      </c>
      <c r="E336" t="s">
        <v>1009</v>
      </c>
      <c r="F336" t="s">
        <v>1012</v>
      </c>
    </row>
    <row r="337" spans="1:6" x14ac:dyDescent="0.3">
      <c r="A337">
        <v>336</v>
      </c>
      <c r="B337" t="s">
        <v>359</v>
      </c>
      <c r="C337" t="s">
        <v>847</v>
      </c>
      <c r="D337" t="str">
        <f t="shared" si="5"/>
        <v>DIRECCIÓN CLIENTE 336</v>
      </c>
      <c r="E337" t="s">
        <v>1010</v>
      </c>
      <c r="F337" t="s">
        <v>1012</v>
      </c>
    </row>
    <row r="338" spans="1:6" x14ac:dyDescent="0.3">
      <c r="A338">
        <v>337</v>
      </c>
      <c r="B338" t="s">
        <v>360</v>
      </c>
      <c r="C338" t="s">
        <v>848</v>
      </c>
      <c r="D338" t="str">
        <f t="shared" si="5"/>
        <v>DIRECCIÓN CLIENTE 337</v>
      </c>
      <c r="E338" t="s">
        <v>1003</v>
      </c>
      <c r="F338" t="s">
        <v>1012</v>
      </c>
    </row>
    <row r="339" spans="1:6" x14ac:dyDescent="0.3">
      <c r="A339">
        <v>338</v>
      </c>
      <c r="B339" t="s">
        <v>361</v>
      </c>
      <c r="C339" t="s">
        <v>849</v>
      </c>
      <c r="D339" t="str">
        <f t="shared" si="5"/>
        <v>DIRECCIÓN CLIENTE 338</v>
      </c>
      <c r="E339" t="s">
        <v>1004</v>
      </c>
      <c r="F339" t="s">
        <v>1012</v>
      </c>
    </row>
    <row r="340" spans="1:6" x14ac:dyDescent="0.3">
      <c r="A340">
        <v>339</v>
      </c>
      <c r="B340" t="s">
        <v>362</v>
      </c>
      <c r="C340" t="s">
        <v>850</v>
      </c>
      <c r="D340" t="str">
        <f t="shared" si="5"/>
        <v>DIRECCIÓN CLIENTE 339</v>
      </c>
      <c r="E340" t="s">
        <v>1005</v>
      </c>
      <c r="F340" t="s">
        <v>1012</v>
      </c>
    </row>
    <row r="341" spans="1:6" x14ac:dyDescent="0.3">
      <c r="A341">
        <v>340</v>
      </c>
      <c r="B341" t="s">
        <v>363</v>
      </c>
      <c r="C341" t="s">
        <v>851</v>
      </c>
      <c r="D341" t="str">
        <f t="shared" si="5"/>
        <v>DIRECCIÓN CLIENTE 340</v>
      </c>
      <c r="E341" t="s">
        <v>1006</v>
      </c>
      <c r="F341" t="s">
        <v>1012</v>
      </c>
    </row>
    <row r="342" spans="1:6" x14ac:dyDescent="0.3">
      <c r="A342">
        <v>341</v>
      </c>
      <c r="B342" t="s">
        <v>364</v>
      </c>
      <c r="C342" t="s">
        <v>852</v>
      </c>
      <c r="D342" t="str">
        <f t="shared" si="5"/>
        <v>DIRECCIÓN CLIENTE 341</v>
      </c>
      <c r="E342" t="s">
        <v>1007</v>
      </c>
      <c r="F342" t="s">
        <v>1012</v>
      </c>
    </row>
    <row r="343" spans="1:6" x14ac:dyDescent="0.3">
      <c r="A343">
        <v>342</v>
      </c>
      <c r="B343" t="s">
        <v>365</v>
      </c>
      <c r="C343" t="s">
        <v>853</v>
      </c>
      <c r="D343" t="str">
        <f t="shared" si="5"/>
        <v>DIRECCIÓN CLIENTE 342</v>
      </c>
      <c r="E343" t="s">
        <v>1008</v>
      </c>
      <c r="F343" t="s">
        <v>1012</v>
      </c>
    </row>
    <row r="344" spans="1:6" x14ac:dyDescent="0.3">
      <c r="A344">
        <v>343</v>
      </c>
      <c r="B344" t="s">
        <v>366</v>
      </c>
      <c r="C344" t="s">
        <v>854</v>
      </c>
      <c r="D344" t="str">
        <f t="shared" si="5"/>
        <v>DIRECCIÓN CLIENTE 343</v>
      </c>
      <c r="E344" t="s">
        <v>1009</v>
      </c>
      <c r="F344" t="s">
        <v>1012</v>
      </c>
    </row>
    <row r="345" spans="1:6" x14ac:dyDescent="0.3">
      <c r="A345">
        <v>344</v>
      </c>
      <c r="B345" t="s">
        <v>367</v>
      </c>
      <c r="C345" t="s">
        <v>855</v>
      </c>
      <c r="D345" t="str">
        <f t="shared" si="5"/>
        <v>DIRECCIÓN CLIENTE 344</v>
      </c>
      <c r="E345" t="s">
        <v>1010</v>
      </c>
      <c r="F345" t="s">
        <v>1012</v>
      </c>
    </row>
    <row r="346" spans="1:6" x14ac:dyDescent="0.3">
      <c r="A346">
        <v>345</v>
      </c>
      <c r="B346" t="s">
        <v>368</v>
      </c>
      <c r="C346" t="s">
        <v>856</v>
      </c>
      <c r="D346" t="str">
        <f t="shared" si="5"/>
        <v>DIRECCIÓN CLIENTE 345</v>
      </c>
      <c r="E346" t="s">
        <v>1003</v>
      </c>
      <c r="F346" t="s">
        <v>1012</v>
      </c>
    </row>
    <row r="347" spans="1:6" x14ac:dyDescent="0.3">
      <c r="A347">
        <v>346</v>
      </c>
      <c r="B347" t="s">
        <v>369</v>
      </c>
      <c r="C347" t="s">
        <v>857</v>
      </c>
      <c r="D347" t="str">
        <f t="shared" si="5"/>
        <v>DIRECCIÓN CLIENTE 346</v>
      </c>
      <c r="E347" t="s">
        <v>1004</v>
      </c>
      <c r="F347" t="s">
        <v>1012</v>
      </c>
    </row>
    <row r="348" spans="1:6" x14ac:dyDescent="0.3">
      <c r="A348">
        <v>347</v>
      </c>
      <c r="B348" t="s">
        <v>370</v>
      </c>
      <c r="C348" t="s">
        <v>858</v>
      </c>
      <c r="D348" t="str">
        <f t="shared" si="5"/>
        <v>DIRECCIÓN CLIENTE 347</v>
      </c>
      <c r="E348" t="s">
        <v>1005</v>
      </c>
      <c r="F348" t="s">
        <v>1012</v>
      </c>
    </row>
    <row r="349" spans="1:6" x14ac:dyDescent="0.3">
      <c r="A349">
        <v>348</v>
      </c>
      <c r="B349" t="s">
        <v>371</v>
      </c>
      <c r="C349" t="s">
        <v>859</v>
      </c>
      <c r="D349" t="str">
        <f t="shared" si="5"/>
        <v>DIRECCIÓN CLIENTE 348</v>
      </c>
      <c r="E349" t="s">
        <v>1006</v>
      </c>
      <c r="F349" t="s">
        <v>1012</v>
      </c>
    </row>
    <row r="350" spans="1:6" x14ac:dyDescent="0.3">
      <c r="A350">
        <v>349</v>
      </c>
      <c r="B350" t="s">
        <v>372</v>
      </c>
      <c r="C350" t="s">
        <v>860</v>
      </c>
      <c r="D350" t="str">
        <f t="shared" si="5"/>
        <v>DIRECCIÓN CLIENTE 349</v>
      </c>
      <c r="E350" t="s">
        <v>1007</v>
      </c>
      <c r="F350" t="s">
        <v>1012</v>
      </c>
    </row>
    <row r="351" spans="1:6" x14ac:dyDescent="0.3">
      <c r="A351">
        <v>350</v>
      </c>
      <c r="B351" t="s">
        <v>373</v>
      </c>
      <c r="C351" t="s">
        <v>861</v>
      </c>
      <c r="D351" t="str">
        <f t="shared" si="5"/>
        <v>DIRECCIÓN CLIENTE 350</v>
      </c>
      <c r="E351" t="s">
        <v>1008</v>
      </c>
      <c r="F351" t="s">
        <v>1012</v>
      </c>
    </row>
    <row r="352" spans="1:6" x14ac:dyDescent="0.3">
      <c r="A352">
        <v>351</v>
      </c>
      <c r="B352" t="s">
        <v>374</v>
      </c>
      <c r="C352" t="s">
        <v>862</v>
      </c>
      <c r="D352" t="str">
        <f t="shared" si="5"/>
        <v>DIRECCIÓN CLIENTE 351</v>
      </c>
      <c r="E352" t="s">
        <v>1009</v>
      </c>
      <c r="F352" t="s">
        <v>1012</v>
      </c>
    </row>
    <row r="353" spans="1:6" x14ac:dyDescent="0.3">
      <c r="A353">
        <v>352</v>
      </c>
      <c r="B353" t="s">
        <v>375</v>
      </c>
      <c r="C353" t="s">
        <v>863</v>
      </c>
      <c r="D353" t="str">
        <f t="shared" si="5"/>
        <v>DIRECCIÓN CLIENTE 352</v>
      </c>
      <c r="E353" t="s">
        <v>1010</v>
      </c>
      <c r="F353" t="s">
        <v>1012</v>
      </c>
    </row>
    <row r="354" spans="1:6" x14ac:dyDescent="0.3">
      <c r="A354">
        <v>353</v>
      </c>
      <c r="B354" t="s">
        <v>376</v>
      </c>
      <c r="C354" t="s">
        <v>864</v>
      </c>
      <c r="D354" t="str">
        <f t="shared" si="5"/>
        <v>DIRECCIÓN CLIENTE 353</v>
      </c>
      <c r="E354" t="s">
        <v>1003</v>
      </c>
      <c r="F354" t="s">
        <v>1012</v>
      </c>
    </row>
    <row r="355" spans="1:6" x14ac:dyDescent="0.3">
      <c r="A355">
        <v>354</v>
      </c>
      <c r="B355" t="s">
        <v>377</v>
      </c>
      <c r="C355" t="s">
        <v>865</v>
      </c>
      <c r="D355" t="str">
        <f t="shared" si="5"/>
        <v>DIRECCIÓN CLIENTE 354</v>
      </c>
      <c r="E355" t="s">
        <v>1004</v>
      </c>
      <c r="F355" t="s">
        <v>1012</v>
      </c>
    </row>
    <row r="356" spans="1:6" x14ac:dyDescent="0.3">
      <c r="A356">
        <v>355</v>
      </c>
      <c r="B356" t="s">
        <v>378</v>
      </c>
      <c r="C356" t="s">
        <v>866</v>
      </c>
      <c r="D356" t="str">
        <f t="shared" si="5"/>
        <v>DIRECCIÓN CLIENTE 355</v>
      </c>
      <c r="E356" t="s">
        <v>1005</v>
      </c>
      <c r="F356" t="s">
        <v>1012</v>
      </c>
    </row>
    <row r="357" spans="1:6" x14ac:dyDescent="0.3">
      <c r="A357">
        <v>356</v>
      </c>
      <c r="B357" t="s">
        <v>379</v>
      </c>
      <c r="C357" t="s">
        <v>867</v>
      </c>
      <c r="D357" t="str">
        <f t="shared" si="5"/>
        <v>DIRECCIÓN CLIENTE 356</v>
      </c>
      <c r="E357" t="s">
        <v>1006</v>
      </c>
      <c r="F357" t="s">
        <v>1012</v>
      </c>
    </row>
    <row r="358" spans="1:6" x14ac:dyDescent="0.3">
      <c r="A358">
        <v>357</v>
      </c>
      <c r="B358" t="s">
        <v>380</v>
      </c>
      <c r="C358" t="s">
        <v>868</v>
      </c>
      <c r="D358" t="str">
        <f t="shared" si="5"/>
        <v>DIRECCIÓN CLIENTE 357</v>
      </c>
      <c r="E358" t="s">
        <v>1007</v>
      </c>
      <c r="F358" t="s">
        <v>1012</v>
      </c>
    </row>
    <row r="359" spans="1:6" x14ac:dyDescent="0.3">
      <c r="A359">
        <v>358</v>
      </c>
      <c r="B359" t="s">
        <v>381</v>
      </c>
      <c r="C359" t="s">
        <v>869</v>
      </c>
      <c r="D359" t="str">
        <f t="shared" si="5"/>
        <v>DIRECCIÓN CLIENTE 358</v>
      </c>
      <c r="E359" t="s">
        <v>1008</v>
      </c>
      <c r="F359" t="s">
        <v>1012</v>
      </c>
    </row>
    <row r="360" spans="1:6" x14ac:dyDescent="0.3">
      <c r="A360">
        <v>359</v>
      </c>
      <c r="B360" t="s">
        <v>382</v>
      </c>
      <c r="C360" t="s">
        <v>870</v>
      </c>
      <c r="D360" t="str">
        <f t="shared" si="5"/>
        <v>DIRECCIÓN CLIENTE 359</v>
      </c>
      <c r="E360" t="s">
        <v>1009</v>
      </c>
      <c r="F360" t="s">
        <v>1012</v>
      </c>
    </row>
    <row r="361" spans="1:6" x14ac:dyDescent="0.3">
      <c r="A361">
        <v>360</v>
      </c>
      <c r="B361" t="s">
        <v>383</v>
      </c>
      <c r="C361" t="s">
        <v>871</v>
      </c>
      <c r="D361" t="str">
        <f t="shared" si="5"/>
        <v>DIRECCIÓN CLIENTE 360</v>
      </c>
      <c r="E361" t="s">
        <v>1010</v>
      </c>
      <c r="F361" t="s">
        <v>1012</v>
      </c>
    </row>
    <row r="362" spans="1:6" x14ac:dyDescent="0.3">
      <c r="A362">
        <v>361</v>
      </c>
      <c r="B362" t="s">
        <v>384</v>
      </c>
      <c r="C362" t="s">
        <v>872</v>
      </c>
      <c r="D362" t="str">
        <f t="shared" si="5"/>
        <v>DIRECCIÓN CLIENTE 361</v>
      </c>
      <c r="E362" t="s">
        <v>1003</v>
      </c>
      <c r="F362" t="s">
        <v>1012</v>
      </c>
    </row>
    <row r="363" spans="1:6" x14ac:dyDescent="0.3">
      <c r="A363">
        <v>362</v>
      </c>
      <c r="B363" t="s">
        <v>385</v>
      </c>
      <c r="C363" t="s">
        <v>873</v>
      </c>
      <c r="D363" t="str">
        <f t="shared" si="5"/>
        <v>DIRECCIÓN CLIENTE 362</v>
      </c>
      <c r="E363" t="s">
        <v>1004</v>
      </c>
      <c r="F363" t="s">
        <v>1012</v>
      </c>
    </row>
    <row r="364" spans="1:6" x14ac:dyDescent="0.3">
      <c r="A364">
        <v>363</v>
      </c>
      <c r="B364" t="s">
        <v>386</v>
      </c>
      <c r="C364" t="s">
        <v>874</v>
      </c>
      <c r="D364" t="str">
        <f t="shared" si="5"/>
        <v>DIRECCIÓN CLIENTE 363</v>
      </c>
      <c r="E364" t="s">
        <v>1005</v>
      </c>
      <c r="F364" t="s">
        <v>1012</v>
      </c>
    </row>
    <row r="365" spans="1:6" x14ac:dyDescent="0.3">
      <c r="A365">
        <v>364</v>
      </c>
      <c r="B365" t="s">
        <v>387</v>
      </c>
      <c r="C365" t="s">
        <v>875</v>
      </c>
      <c r="D365" t="str">
        <f t="shared" si="5"/>
        <v>DIRECCIÓN CLIENTE 364</v>
      </c>
      <c r="E365" t="s">
        <v>1006</v>
      </c>
      <c r="F365" t="s">
        <v>1012</v>
      </c>
    </row>
    <row r="366" spans="1:6" x14ac:dyDescent="0.3">
      <c r="A366">
        <v>365</v>
      </c>
      <c r="B366" t="s">
        <v>388</v>
      </c>
      <c r="C366" t="s">
        <v>876</v>
      </c>
      <c r="D366" t="str">
        <f t="shared" si="5"/>
        <v>DIRECCIÓN CLIENTE 365</v>
      </c>
      <c r="E366" t="s">
        <v>1007</v>
      </c>
      <c r="F366" t="s">
        <v>1012</v>
      </c>
    </row>
    <row r="367" spans="1:6" x14ac:dyDescent="0.3">
      <c r="A367">
        <v>366</v>
      </c>
      <c r="B367" t="s">
        <v>389</v>
      </c>
      <c r="C367" t="s">
        <v>877</v>
      </c>
      <c r="D367" t="str">
        <f t="shared" si="5"/>
        <v>DIRECCIÓN CLIENTE 366</v>
      </c>
      <c r="E367" t="s">
        <v>1008</v>
      </c>
      <c r="F367" t="s">
        <v>1012</v>
      </c>
    </row>
    <row r="368" spans="1:6" x14ac:dyDescent="0.3">
      <c r="A368">
        <v>367</v>
      </c>
      <c r="B368" t="s">
        <v>390</v>
      </c>
      <c r="C368" t="s">
        <v>878</v>
      </c>
      <c r="D368" t="str">
        <f t="shared" si="5"/>
        <v>DIRECCIÓN CLIENTE 367</v>
      </c>
      <c r="E368" t="s">
        <v>1009</v>
      </c>
      <c r="F368" t="s">
        <v>1012</v>
      </c>
    </row>
    <row r="369" spans="1:6" x14ac:dyDescent="0.3">
      <c r="A369">
        <v>368</v>
      </c>
      <c r="B369" t="s">
        <v>391</v>
      </c>
      <c r="C369" t="s">
        <v>879</v>
      </c>
      <c r="D369" t="str">
        <f t="shared" si="5"/>
        <v>DIRECCIÓN CLIENTE 368</v>
      </c>
      <c r="E369" t="s">
        <v>1010</v>
      </c>
      <c r="F369" t="s">
        <v>1012</v>
      </c>
    </row>
    <row r="370" spans="1:6" x14ac:dyDescent="0.3">
      <c r="A370">
        <v>369</v>
      </c>
      <c r="B370" t="s">
        <v>392</v>
      </c>
      <c r="C370" t="s">
        <v>880</v>
      </c>
      <c r="D370" t="str">
        <f t="shared" si="5"/>
        <v>DIRECCIÓN CLIENTE 369</v>
      </c>
      <c r="E370" t="s">
        <v>1003</v>
      </c>
      <c r="F370" t="s">
        <v>1012</v>
      </c>
    </row>
    <row r="371" spans="1:6" x14ac:dyDescent="0.3">
      <c r="A371">
        <v>370</v>
      </c>
      <c r="B371" t="s">
        <v>393</v>
      </c>
      <c r="C371" t="s">
        <v>881</v>
      </c>
      <c r="D371" t="str">
        <f t="shared" si="5"/>
        <v>DIRECCIÓN CLIENTE 370</v>
      </c>
      <c r="E371" t="s">
        <v>1004</v>
      </c>
      <c r="F371" t="s">
        <v>1012</v>
      </c>
    </row>
    <row r="372" spans="1:6" x14ac:dyDescent="0.3">
      <c r="A372">
        <v>371</v>
      </c>
      <c r="B372" t="s">
        <v>394</v>
      </c>
      <c r="C372" t="s">
        <v>882</v>
      </c>
      <c r="D372" t="str">
        <f t="shared" si="5"/>
        <v>DIRECCIÓN CLIENTE 371</v>
      </c>
      <c r="E372" t="s">
        <v>1005</v>
      </c>
      <c r="F372" t="s">
        <v>1012</v>
      </c>
    </row>
    <row r="373" spans="1:6" x14ac:dyDescent="0.3">
      <c r="A373">
        <v>372</v>
      </c>
      <c r="B373" t="s">
        <v>395</v>
      </c>
      <c r="C373" t="s">
        <v>883</v>
      </c>
      <c r="D373" t="str">
        <f t="shared" si="5"/>
        <v>DIRECCIÓN CLIENTE 372</v>
      </c>
      <c r="E373" t="s">
        <v>1006</v>
      </c>
      <c r="F373" t="s">
        <v>1012</v>
      </c>
    </row>
    <row r="374" spans="1:6" x14ac:dyDescent="0.3">
      <c r="A374">
        <v>373</v>
      </c>
      <c r="B374" t="s">
        <v>396</v>
      </c>
      <c r="C374" t="s">
        <v>884</v>
      </c>
      <c r="D374" t="str">
        <f t="shared" si="5"/>
        <v>DIRECCIÓN CLIENTE 373</v>
      </c>
      <c r="E374" t="s">
        <v>1007</v>
      </c>
      <c r="F374" t="s">
        <v>1012</v>
      </c>
    </row>
    <row r="375" spans="1:6" x14ac:dyDescent="0.3">
      <c r="A375">
        <v>374</v>
      </c>
      <c r="B375" t="s">
        <v>397</v>
      </c>
      <c r="C375" t="s">
        <v>885</v>
      </c>
      <c r="D375" t="str">
        <f t="shared" si="5"/>
        <v>DIRECCIÓN CLIENTE 374</v>
      </c>
      <c r="E375" t="s">
        <v>1008</v>
      </c>
      <c r="F375" t="s">
        <v>1012</v>
      </c>
    </row>
    <row r="376" spans="1:6" x14ac:dyDescent="0.3">
      <c r="A376">
        <v>375</v>
      </c>
      <c r="B376" t="s">
        <v>398</v>
      </c>
      <c r="C376" t="s">
        <v>886</v>
      </c>
      <c r="D376" t="str">
        <f t="shared" si="5"/>
        <v>DIRECCIÓN CLIENTE 375</v>
      </c>
      <c r="E376" t="s">
        <v>1009</v>
      </c>
      <c r="F376" t="s">
        <v>1012</v>
      </c>
    </row>
    <row r="377" spans="1:6" x14ac:dyDescent="0.3">
      <c r="A377">
        <v>376</v>
      </c>
      <c r="B377" t="s">
        <v>399</v>
      </c>
      <c r="C377" t="s">
        <v>887</v>
      </c>
      <c r="D377" t="str">
        <f t="shared" si="5"/>
        <v>DIRECCIÓN CLIENTE 376</v>
      </c>
      <c r="E377" t="s">
        <v>1010</v>
      </c>
      <c r="F377" t="s">
        <v>1012</v>
      </c>
    </row>
    <row r="378" spans="1:6" x14ac:dyDescent="0.3">
      <c r="A378">
        <v>377</v>
      </c>
      <c r="B378" t="s">
        <v>400</v>
      </c>
      <c r="C378" t="s">
        <v>888</v>
      </c>
      <c r="D378" t="str">
        <f t="shared" si="5"/>
        <v>DIRECCIÓN CLIENTE 377</v>
      </c>
      <c r="E378" t="s">
        <v>1003</v>
      </c>
      <c r="F378" t="s">
        <v>1012</v>
      </c>
    </row>
    <row r="379" spans="1:6" x14ac:dyDescent="0.3">
      <c r="A379">
        <v>378</v>
      </c>
      <c r="B379" t="s">
        <v>401</v>
      </c>
      <c r="C379" t="s">
        <v>889</v>
      </c>
      <c r="D379" t="str">
        <f t="shared" si="5"/>
        <v>DIRECCIÓN CLIENTE 378</v>
      </c>
      <c r="E379" t="s">
        <v>1004</v>
      </c>
      <c r="F379" t="s">
        <v>1012</v>
      </c>
    </row>
    <row r="380" spans="1:6" x14ac:dyDescent="0.3">
      <c r="A380">
        <v>379</v>
      </c>
      <c r="B380" t="s">
        <v>402</v>
      </c>
      <c r="C380" t="s">
        <v>890</v>
      </c>
      <c r="D380" t="str">
        <f t="shared" si="5"/>
        <v>DIRECCIÓN CLIENTE 379</v>
      </c>
      <c r="E380" t="s">
        <v>1005</v>
      </c>
      <c r="F380" t="s">
        <v>1012</v>
      </c>
    </row>
    <row r="381" spans="1:6" x14ac:dyDescent="0.3">
      <c r="A381">
        <v>380</v>
      </c>
      <c r="B381" t="s">
        <v>403</v>
      </c>
      <c r="C381" t="s">
        <v>891</v>
      </c>
      <c r="D381" t="str">
        <f t="shared" si="5"/>
        <v>DIRECCIÓN CLIENTE 380</v>
      </c>
      <c r="E381" t="s">
        <v>1006</v>
      </c>
      <c r="F381" t="s">
        <v>1012</v>
      </c>
    </row>
    <row r="382" spans="1:6" x14ac:dyDescent="0.3">
      <c r="A382">
        <v>381</v>
      </c>
      <c r="B382" t="s">
        <v>404</v>
      </c>
      <c r="C382" t="s">
        <v>892</v>
      </c>
      <c r="D382" t="str">
        <f t="shared" si="5"/>
        <v>DIRECCIÓN CLIENTE 381</v>
      </c>
      <c r="E382" t="s">
        <v>1007</v>
      </c>
      <c r="F382" t="s">
        <v>1012</v>
      </c>
    </row>
    <row r="383" spans="1:6" x14ac:dyDescent="0.3">
      <c r="A383">
        <v>382</v>
      </c>
      <c r="B383" t="s">
        <v>405</v>
      </c>
      <c r="C383" t="s">
        <v>893</v>
      </c>
      <c r="D383" t="str">
        <f t="shared" si="5"/>
        <v>DIRECCIÓN CLIENTE 382</v>
      </c>
      <c r="E383" t="s">
        <v>1008</v>
      </c>
      <c r="F383" t="s">
        <v>1012</v>
      </c>
    </row>
    <row r="384" spans="1:6" x14ac:dyDescent="0.3">
      <c r="A384">
        <v>383</v>
      </c>
      <c r="B384" t="s">
        <v>406</v>
      </c>
      <c r="C384" t="s">
        <v>894</v>
      </c>
      <c r="D384" t="str">
        <f t="shared" si="5"/>
        <v>DIRECCIÓN CLIENTE 383</v>
      </c>
      <c r="E384" t="s">
        <v>1009</v>
      </c>
      <c r="F384" t="s">
        <v>1012</v>
      </c>
    </row>
    <row r="385" spans="1:6" x14ac:dyDescent="0.3">
      <c r="A385">
        <v>384</v>
      </c>
      <c r="B385" t="s">
        <v>407</v>
      </c>
      <c r="C385" t="s">
        <v>895</v>
      </c>
      <c r="D385" t="str">
        <f t="shared" si="5"/>
        <v>DIRECCIÓN CLIENTE 384</v>
      </c>
      <c r="E385" t="s">
        <v>1010</v>
      </c>
      <c r="F385" t="s">
        <v>1012</v>
      </c>
    </row>
    <row r="386" spans="1:6" x14ac:dyDescent="0.3">
      <c r="A386">
        <v>385</v>
      </c>
      <c r="B386" t="s">
        <v>408</v>
      </c>
      <c r="C386" t="s">
        <v>896</v>
      </c>
      <c r="D386" t="str">
        <f t="shared" si="5"/>
        <v>DIRECCIÓN CLIENTE 385</v>
      </c>
      <c r="E386" t="s">
        <v>1003</v>
      </c>
      <c r="F386" t="s">
        <v>1012</v>
      </c>
    </row>
    <row r="387" spans="1:6" x14ac:dyDescent="0.3">
      <c r="A387">
        <v>386</v>
      </c>
      <c r="B387" t="s">
        <v>409</v>
      </c>
      <c r="C387" t="s">
        <v>897</v>
      </c>
      <c r="D387" t="str">
        <f t="shared" ref="D387:D450" si="6">+"DIRECCIÓN CLIENTE "&amp;A387</f>
        <v>DIRECCIÓN CLIENTE 386</v>
      </c>
      <c r="E387" t="s">
        <v>1004</v>
      </c>
      <c r="F387" t="s">
        <v>1012</v>
      </c>
    </row>
    <row r="388" spans="1:6" x14ac:dyDescent="0.3">
      <c r="A388">
        <v>387</v>
      </c>
      <c r="B388" t="s">
        <v>410</v>
      </c>
      <c r="C388" t="s">
        <v>898</v>
      </c>
      <c r="D388" t="str">
        <f t="shared" si="6"/>
        <v>DIRECCIÓN CLIENTE 387</v>
      </c>
      <c r="E388" t="s">
        <v>1005</v>
      </c>
      <c r="F388" t="s">
        <v>1012</v>
      </c>
    </row>
    <row r="389" spans="1:6" x14ac:dyDescent="0.3">
      <c r="A389">
        <v>388</v>
      </c>
      <c r="B389" t="s">
        <v>411</v>
      </c>
      <c r="C389" t="s">
        <v>899</v>
      </c>
      <c r="D389" t="str">
        <f t="shared" si="6"/>
        <v>DIRECCIÓN CLIENTE 388</v>
      </c>
      <c r="E389" t="s">
        <v>1006</v>
      </c>
      <c r="F389" t="s">
        <v>1012</v>
      </c>
    </row>
    <row r="390" spans="1:6" x14ac:dyDescent="0.3">
      <c r="A390">
        <v>389</v>
      </c>
      <c r="B390" t="s">
        <v>412</v>
      </c>
      <c r="C390" t="s">
        <v>900</v>
      </c>
      <c r="D390" t="str">
        <f t="shared" si="6"/>
        <v>DIRECCIÓN CLIENTE 389</v>
      </c>
      <c r="E390" t="s">
        <v>1007</v>
      </c>
      <c r="F390" t="s">
        <v>1012</v>
      </c>
    </row>
    <row r="391" spans="1:6" x14ac:dyDescent="0.3">
      <c r="A391">
        <v>390</v>
      </c>
      <c r="B391" t="s">
        <v>413</v>
      </c>
      <c r="C391" t="s">
        <v>901</v>
      </c>
      <c r="D391" t="str">
        <f t="shared" si="6"/>
        <v>DIRECCIÓN CLIENTE 390</v>
      </c>
      <c r="E391" t="s">
        <v>1008</v>
      </c>
      <c r="F391" t="s">
        <v>1012</v>
      </c>
    </row>
    <row r="392" spans="1:6" x14ac:dyDescent="0.3">
      <c r="A392">
        <v>391</v>
      </c>
      <c r="B392" t="s">
        <v>414</v>
      </c>
      <c r="C392" t="s">
        <v>902</v>
      </c>
      <c r="D392" t="str">
        <f t="shared" si="6"/>
        <v>DIRECCIÓN CLIENTE 391</v>
      </c>
      <c r="E392" t="s">
        <v>1009</v>
      </c>
      <c r="F392" t="s">
        <v>1012</v>
      </c>
    </row>
    <row r="393" spans="1:6" x14ac:dyDescent="0.3">
      <c r="A393">
        <v>392</v>
      </c>
      <c r="B393" t="s">
        <v>415</v>
      </c>
      <c r="C393" t="s">
        <v>903</v>
      </c>
      <c r="D393" t="str">
        <f t="shared" si="6"/>
        <v>DIRECCIÓN CLIENTE 392</v>
      </c>
      <c r="E393" t="s">
        <v>1010</v>
      </c>
      <c r="F393" t="s">
        <v>1012</v>
      </c>
    </row>
    <row r="394" spans="1:6" x14ac:dyDescent="0.3">
      <c r="A394">
        <v>393</v>
      </c>
      <c r="B394" t="s">
        <v>416</v>
      </c>
      <c r="C394" t="s">
        <v>904</v>
      </c>
      <c r="D394" t="str">
        <f t="shared" si="6"/>
        <v>DIRECCIÓN CLIENTE 393</v>
      </c>
      <c r="E394" t="s">
        <v>1003</v>
      </c>
      <c r="F394" t="s">
        <v>1012</v>
      </c>
    </row>
    <row r="395" spans="1:6" x14ac:dyDescent="0.3">
      <c r="A395">
        <v>394</v>
      </c>
      <c r="B395" t="s">
        <v>417</v>
      </c>
      <c r="C395" t="s">
        <v>905</v>
      </c>
      <c r="D395" t="str">
        <f t="shared" si="6"/>
        <v>DIRECCIÓN CLIENTE 394</v>
      </c>
      <c r="E395" t="s">
        <v>1004</v>
      </c>
      <c r="F395" t="s">
        <v>1012</v>
      </c>
    </row>
    <row r="396" spans="1:6" x14ac:dyDescent="0.3">
      <c r="A396">
        <v>395</v>
      </c>
      <c r="B396" t="s">
        <v>418</v>
      </c>
      <c r="C396" t="s">
        <v>906</v>
      </c>
      <c r="D396" t="str">
        <f t="shared" si="6"/>
        <v>DIRECCIÓN CLIENTE 395</v>
      </c>
      <c r="E396" t="s">
        <v>1005</v>
      </c>
      <c r="F396" t="s">
        <v>1012</v>
      </c>
    </row>
    <row r="397" spans="1:6" x14ac:dyDescent="0.3">
      <c r="A397">
        <v>396</v>
      </c>
      <c r="B397" t="s">
        <v>419</v>
      </c>
      <c r="C397" t="s">
        <v>907</v>
      </c>
      <c r="D397" t="str">
        <f t="shared" si="6"/>
        <v>DIRECCIÓN CLIENTE 396</v>
      </c>
      <c r="E397" t="s">
        <v>1006</v>
      </c>
      <c r="F397" t="s">
        <v>1012</v>
      </c>
    </row>
    <row r="398" spans="1:6" x14ac:dyDescent="0.3">
      <c r="A398">
        <v>397</v>
      </c>
      <c r="B398" t="s">
        <v>420</v>
      </c>
      <c r="C398" t="s">
        <v>908</v>
      </c>
      <c r="D398" t="str">
        <f t="shared" si="6"/>
        <v>DIRECCIÓN CLIENTE 397</v>
      </c>
      <c r="E398" t="s">
        <v>1007</v>
      </c>
      <c r="F398" t="s">
        <v>1012</v>
      </c>
    </row>
    <row r="399" spans="1:6" x14ac:dyDescent="0.3">
      <c r="A399">
        <v>398</v>
      </c>
      <c r="B399" t="s">
        <v>421</v>
      </c>
      <c r="C399" t="s">
        <v>909</v>
      </c>
      <c r="D399" t="str">
        <f t="shared" si="6"/>
        <v>DIRECCIÓN CLIENTE 398</v>
      </c>
      <c r="E399" t="s">
        <v>1008</v>
      </c>
      <c r="F399" t="s">
        <v>1012</v>
      </c>
    </row>
    <row r="400" spans="1:6" x14ac:dyDescent="0.3">
      <c r="A400">
        <v>399</v>
      </c>
      <c r="B400" t="s">
        <v>422</v>
      </c>
      <c r="C400" t="s">
        <v>910</v>
      </c>
      <c r="D400" t="str">
        <f t="shared" si="6"/>
        <v>DIRECCIÓN CLIENTE 399</v>
      </c>
      <c r="E400" t="s">
        <v>1009</v>
      </c>
      <c r="F400" t="s">
        <v>1012</v>
      </c>
    </row>
    <row r="401" spans="1:6" x14ac:dyDescent="0.3">
      <c r="A401">
        <v>400</v>
      </c>
      <c r="B401" t="s">
        <v>423</v>
      </c>
      <c r="C401" t="s">
        <v>911</v>
      </c>
      <c r="D401" t="str">
        <f t="shared" si="6"/>
        <v>DIRECCIÓN CLIENTE 400</v>
      </c>
      <c r="E401" t="s">
        <v>1010</v>
      </c>
      <c r="F401" t="s">
        <v>1012</v>
      </c>
    </row>
    <row r="402" spans="1:6" x14ac:dyDescent="0.3">
      <c r="A402">
        <v>401</v>
      </c>
      <c r="B402" t="s">
        <v>424</v>
      </c>
      <c r="C402" t="s">
        <v>912</v>
      </c>
      <c r="D402" t="str">
        <f t="shared" si="6"/>
        <v>DIRECCIÓN CLIENTE 401</v>
      </c>
      <c r="E402" t="s">
        <v>1003</v>
      </c>
      <c r="F402" t="s">
        <v>1012</v>
      </c>
    </row>
    <row r="403" spans="1:6" x14ac:dyDescent="0.3">
      <c r="A403">
        <v>402</v>
      </c>
      <c r="B403" t="s">
        <v>425</v>
      </c>
      <c r="C403" t="s">
        <v>913</v>
      </c>
      <c r="D403" t="str">
        <f t="shared" si="6"/>
        <v>DIRECCIÓN CLIENTE 402</v>
      </c>
      <c r="E403" t="s">
        <v>1004</v>
      </c>
      <c r="F403" t="s">
        <v>1012</v>
      </c>
    </row>
    <row r="404" spans="1:6" x14ac:dyDescent="0.3">
      <c r="A404">
        <v>403</v>
      </c>
      <c r="B404" t="s">
        <v>426</v>
      </c>
      <c r="C404" t="s">
        <v>914</v>
      </c>
      <c r="D404" t="str">
        <f t="shared" si="6"/>
        <v>DIRECCIÓN CLIENTE 403</v>
      </c>
      <c r="E404" t="s">
        <v>1005</v>
      </c>
      <c r="F404" t="s">
        <v>1012</v>
      </c>
    </row>
    <row r="405" spans="1:6" x14ac:dyDescent="0.3">
      <c r="A405">
        <v>404</v>
      </c>
      <c r="B405" t="s">
        <v>427</v>
      </c>
      <c r="C405" t="s">
        <v>915</v>
      </c>
      <c r="D405" t="str">
        <f t="shared" si="6"/>
        <v>DIRECCIÓN CLIENTE 404</v>
      </c>
      <c r="E405" t="s">
        <v>1006</v>
      </c>
      <c r="F405" t="s">
        <v>1012</v>
      </c>
    </row>
    <row r="406" spans="1:6" x14ac:dyDescent="0.3">
      <c r="A406">
        <v>405</v>
      </c>
      <c r="B406" t="s">
        <v>428</v>
      </c>
      <c r="C406" t="s">
        <v>916</v>
      </c>
      <c r="D406" t="str">
        <f t="shared" si="6"/>
        <v>DIRECCIÓN CLIENTE 405</v>
      </c>
      <c r="E406" t="s">
        <v>1007</v>
      </c>
      <c r="F406" t="s">
        <v>1012</v>
      </c>
    </row>
    <row r="407" spans="1:6" x14ac:dyDescent="0.3">
      <c r="A407">
        <v>406</v>
      </c>
      <c r="B407" t="s">
        <v>429</v>
      </c>
      <c r="C407" t="s">
        <v>917</v>
      </c>
      <c r="D407" t="str">
        <f t="shared" si="6"/>
        <v>DIRECCIÓN CLIENTE 406</v>
      </c>
      <c r="E407" t="s">
        <v>1008</v>
      </c>
      <c r="F407" t="s">
        <v>1012</v>
      </c>
    </row>
    <row r="408" spans="1:6" x14ac:dyDescent="0.3">
      <c r="A408">
        <v>407</v>
      </c>
      <c r="B408" t="s">
        <v>430</v>
      </c>
      <c r="C408" t="s">
        <v>918</v>
      </c>
      <c r="D408" t="str">
        <f t="shared" si="6"/>
        <v>DIRECCIÓN CLIENTE 407</v>
      </c>
      <c r="E408" t="s">
        <v>1009</v>
      </c>
      <c r="F408" t="s">
        <v>1012</v>
      </c>
    </row>
    <row r="409" spans="1:6" x14ac:dyDescent="0.3">
      <c r="A409">
        <v>408</v>
      </c>
      <c r="B409" t="s">
        <v>431</v>
      </c>
      <c r="C409" t="s">
        <v>919</v>
      </c>
      <c r="D409" t="str">
        <f t="shared" si="6"/>
        <v>DIRECCIÓN CLIENTE 408</v>
      </c>
      <c r="E409" t="s">
        <v>1010</v>
      </c>
      <c r="F409" t="s">
        <v>1012</v>
      </c>
    </row>
    <row r="410" spans="1:6" x14ac:dyDescent="0.3">
      <c r="A410">
        <v>409</v>
      </c>
      <c r="B410" t="s">
        <v>432</v>
      </c>
      <c r="C410" t="s">
        <v>920</v>
      </c>
      <c r="D410" t="str">
        <f t="shared" si="6"/>
        <v>DIRECCIÓN CLIENTE 409</v>
      </c>
      <c r="E410" t="s">
        <v>1003</v>
      </c>
      <c r="F410" t="s">
        <v>1012</v>
      </c>
    </row>
    <row r="411" spans="1:6" x14ac:dyDescent="0.3">
      <c r="A411">
        <v>410</v>
      </c>
      <c r="B411" t="s">
        <v>433</v>
      </c>
      <c r="C411" t="s">
        <v>921</v>
      </c>
      <c r="D411" t="str">
        <f t="shared" si="6"/>
        <v>DIRECCIÓN CLIENTE 410</v>
      </c>
      <c r="E411" t="s">
        <v>1004</v>
      </c>
      <c r="F411" t="s">
        <v>1012</v>
      </c>
    </row>
    <row r="412" spans="1:6" x14ac:dyDescent="0.3">
      <c r="A412">
        <v>411</v>
      </c>
      <c r="B412" t="s">
        <v>434</v>
      </c>
      <c r="C412" t="s">
        <v>922</v>
      </c>
      <c r="D412" t="str">
        <f t="shared" si="6"/>
        <v>DIRECCIÓN CLIENTE 411</v>
      </c>
      <c r="E412" t="s">
        <v>1005</v>
      </c>
      <c r="F412" t="s">
        <v>1012</v>
      </c>
    </row>
    <row r="413" spans="1:6" x14ac:dyDescent="0.3">
      <c r="A413">
        <v>412</v>
      </c>
      <c r="B413" t="s">
        <v>435</v>
      </c>
      <c r="C413" t="s">
        <v>923</v>
      </c>
      <c r="D413" t="str">
        <f t="shared" si="6"/>
        <v>DIRECCIÓN CLIENTE 412</v>
      </c>
      <c r="E413" t="s">
        <v>1006</v>
      </c>
      <c r="F413" t="s">
        <v>1012</v>
      </c>
    </row>
    <row r="414" spans="1:6" x14ac:dyDescent="0.3">
      <c r="A414">
        <v>413</v>
      </c>
      <c r="B414" t="s">
        <v>436</v>
      </c>
      <c r="C414" t="s">
        <v>924</v>
      </c>
      <c r="D414" t="str">
        <f t="shared" si="6"/>
        <v>DIRECCIÓN CLIENTE 413</v>
      </c>
      <c r="E414" t="s">
        <v>1007</v>
      </c>
      <c r="F414" t="s">
        <v>1012</v>
      </c>
    </row>
    <row r="415" spans="1:6" x14ac:dyDescent="0.3">
      <c r="A415">
        <v>414</v>
      </c>
      <c r="B415" t="s">
        <v>437</v>
      </c>
      <c r="C415" t="s">
        <v>925</v>
      </c>
      <c r="D415" t="str">
        <f t="shared" si="6"/>
        <v>DIRECCIÓN CLIENTE 414</v>
      </c>
      <c r="E415" t="s">
        <v>1008</v>
      </c>
      <c r="F415" t="s">
        <v>1012</v>
      </c>
    </row>
    <row r="416" spans="1:6" x14ac:dyDescent="0.3">
      <c r="A416">
        <v>415</v>
      </c>
      <c r="B416" t="s">
        <v>438</v>
      </c>
      <c r="C416" t="s">
        <v>926</v>
      </c>
      <c r="D416" t="str">
        <f t="shared" si="6"/>
        <v>DIRECCIÓN CLIENTE 415</v>
      </c>
      <c r="E416" t="s">
        <v>1009</v>
      </c>
      <c r="F416" t="s">
        <v>1012</v>
      </c>
    </row>
    <row r="417" spans="1:6" x14ac:dyDescent="0.3">
      <c r="A417">
        <v>416</v>
      </c>
      <c r="B417" t="s">
        <v>439</v>
      </c>
      <c r="C417" t="s">
        <v>927</v>
      </c>
      <c r="D417" t="str">
        <f t="shared" si="6"/>
        <v>DIRECCIÓN CLIENTE 416</v>
      </c>
      <c r="E417" t="s">
        <v>1010</v>
      </c>
      <c r="F417" t="s">
        <v>1012</v>
      </c>
    </row>
    <row r="418" spans="1:6" x14ac:dyDescent="0.3">
      <c r="A418">
        <v>417</v>
      </c>
      <c r="B418" t="s">
        <v>440</v>
      </c>
      <c r="C418" t="s">
        <v>928</v>
      </c>
      <c r="D418" t="str">
        <f t="shared" si="6"/>
        <v>DIRECCIÓN CLIENTE 417</v>
      </c>
      <c r="E418" t="s">
        <v>1003</v>
      </c>
      <c r="F418" t="s">
        <v>1012</v>
      </c>
    </row>
    <row r="419" spans="1:6" x14ac:dyDescent="0.3">
      <c r="A419">
        <v>418</v>
      </c>
      <c r="B419" t="s">
        <v>441</v>
      </c>
      <c r="C419" t="s">
        <v>929</v>
      </c>
      <c r="D419" t="str">
        <f t="shared" si="6"/>
        <v>DIRECCIÓN CLIENTE 418</v>
      </c>
      <c r="E419" t="s">
        <v>1004</v>
      </c>
      <c r="F419" t="s">
        <v>1012</v>
      </c>
    </row>
    <row r="420" spans="1:6" x14ac:dyDescent="0.3">
      <c r="A420">
        <v>419</v>
      </c>
      <c r="B420" t="s">
        <v>442</v>
      </c>
      <c r="C420" t="s">
        <v>930</v>
      </c>
      <c r="D420" t="str">
        <f t="shared" si="6"/>
        <v>DIRECCIÓN CLIENTE 419</v>
      </c>
      <c r="E420" t="s">
        <v>1005</v>
      </c>
      <c r="F420" t="s">
        <v>1012</v>
      </c>
    </row>
    <row r="421" spans="1:6" x14ac:dyDescent="0.3">
      <c r="A421">
        <v>420</v>
      </c>
      <c r="B421" t="s">
        <v>443</v>
      </c>
      <c r="C421" t="s">
        <v>931</v>
      </c>
      <c r="D421" t="str">
        <f t="shared" si="6"/>
        <v>DIRECCIÓN CLIENTE 420</v>
      </c>
      <c r="E421" t="s">
        <v>1006</v>
      </c>
      <c r="F421" t="s">
        <v>1012</v>
      </c>
    </row>
    <row r="422" spans="1:6" x14ac:dyDescent="0.3">
      <c r="A422">
        <v>421</v>
      </c>
      <c r="B422" t="s">
        <v>444</v>
      </c>
      <c r="C422" t="s">
        <v>932</v>
      </c>
      <c r="D422" t="str">
        <f t="shared" si="6"/>
        <v>DIRECCIÓN CLIENTE 421</v>
      </c>
      <c r="E422" t="s">
        <v>1007</v>
      </c>
      <c r="F422" t="s">
        <v>1012</v>
      </c>
    </row>
    <row r="423" spans="1:6" x14ac:dyDescent="0.3">
      <c r="A423">
        <v>422</v>
      </c>
      <c r="B423" t="s">
        <v>445</v>
      </c>
      <c r="C423" t="s">
        <v>933</v>
      </c>
      <c r="D423" t="str">
        <f t="shared" si="6"/>
        <v>DIRECCIÓN CLIENTE 422</v>
      </c>
      <c r="E423" t="s">
        <v>1008</v>
      </c>
      <c r="F423" t="s">
        <v>1012</v>
      </c>
    </row>
    <row r="424" spans="1:6" x14ac:dyDescent="0.3">
      <c r="A424">
        <v>423</v>
      </c>
      <c r="B424" t="s">
        <v>446</v>
      </c>
      <c r="C424" t="s">
        <v>934</v>
      </c>
      <c r="D424" t="str">
        <f t="shared" si="6"/>
        <v>DIRECCIÓN CLIENTE 423</v>
      </c>
      <c r="E424" t="s">
        <v>1009</v>
      </c>
      <c r="F424" t="s">
        <v>1012</v>
      </c>
    </row>
    <row r="425" spans="1:6" x14ac:dyDescent="0.3">
      <c r="A425">
        <v>424</v>
      </c>
      <c r="B425" t="s">
        <v>447</v>
      </c>
      <c r="C425" t="s">
        <v>935</v>
      </c>
      <c r="D425" t="str">
        <f t="shared" si="6"/>
        <v>DIRECCIÓN CLIENTE 424</v>
      </c>
      <c r="E425" t="s">
        <v>1010</v>
      </c>
      <c r="F425" t="s">
        <v>1012</v>
      </c>
    </row>
    <row r="426" spans="1:6" x14ac:dyDescent="0.3">
      <c r="A426">
        <v>425</v>
      </c>
      <c r="B426" t="s">
        <v>448</v>
      </c>
      <c r="C426" t="s">
        <v>936</v>
      </c>
      <c r="D426" t="str">
        <f t="shared" si="6"/>
        <v>DIRECCIÓN CLIENTE 425</v>
      </c>
      <c r="E426" t="s">
        <v>1003</v>
      </c>
      <c r="F426" t="s">
        <v>1012</v>
      </c>
    </row>
    <row r="427" spans="1:6" x14ac:dyDescent="0.3">
      <c r="A427">
        <v>426</v>
      </c>
      <c r="B427" t="s">
        <v>449</v>
      </c>
      <c r="C427" t="s">
        <v>937</v>
      </c>
      <c r="D427" t="str">
        <f t="shared" si="6"/>
        <v>DIRECCIÓN CLIENTE 426</v>
      </c>
      <c r="E427" t="s">
        <v>1004</v>
      </c>
      <c r="F427" t="s">
        <v>1012</v>
      </c>
    </row>
    <row r="428" spans="1:6" x14ac:dyDescent="0.3">
      <c r="A428">
        <v>427</v>
      </c>
      <c r="B428" t="s">
        <v>450</v>
      </c>
      <c r="C428" t="s">
        <v>938</v>
      </c>
      <c r="D428" t="str">
        <f t="shared" si="6"/>
        <v>DIRECCIÓN CLIENTE 427</v>
      </c>
      <c r="E428" t="s">
        <v>1005</v>
      </c>
      <c r="F428" t="s">
        <v>1012</v>
      </c>
    </row>
    <row r="429" spans="1:6" x14ac:dyDescent="0.3">
      <c r="A429">
        <v>428</v>
      </c>
      <c r="B429" t="s">
        <v>451</v>
      </c>
      <c r="C429" t="s">
        <v>939</v>
      </c>
      <c r="D429" t="str">
        <f t="shared" si="6"/>
        <v>DIRECCIÓN CLIENTE 428</v>
      </c>
      <c r="E429" t="s">
        <v>1006</v>
      </c>
      <c r="F429" t="s">
        <v>1012</v>
      </c>
    </row>
    <row r="430" spans="1:6" x14ac:dyDescent="0.3">
      <c r="A430">
        <v>429</v>
      </c>
      <c r="B430" t="s">
        <v>452</v>
      </c>
      <c r="C430" t="s">
        <v>940</v>
      </c>
      <c r="D430" t="str">
        <f t="shared" si="6"/>
        <v>DIRECCIÓN CLIENTE 429</v>
      </c>
      <c r="E430" t="s">
        <v>1007</v>
      </c>
      <c r="F430" t="s">
        <v>1012</v>
      </c>
    </row>
    <row r="431" spans="1:6" x14ac:dyDescent="0.3">
      <c r="A431">
        <v>430</v>
      </c>
      <c r="B431" t="s">
        <v>453</v>
      </c>
      <c r="C431" t="s">
        <v>941</v>
      </c>
      <c r="D431" t="str">
        <f t="shared" si="6"/>
        <v>DIRECCIÓN CLIENTE 430</v>
      </c>
      <c r="E431" t="s">
        <v>1008</v>
      </c>
      <c r="F431" t="s">
        <v>1012</v>
      </c>
    </row>
    <row r="432" spans="1:6" x14ac:dyDescent="0.3">
      <c r="A432">
        <v>431</v>
      </c>
      <c r="B432" t="s">
        <v>454</v>
      </c>
      <c r="C432" t="s">
        <v>942</v>
      </c>
      <c r="D432" t="str">
        <f t="shared" si="6"/>
        <v>DIRECCIÓN CLIENTE 431</v>
      </c>
      <c r="E432" t="s">
        <v>1009</v>
      </c>
      <c r="F432" t="s">
        <v>1012</v>
      </c>
    </row>
    <row r="433" spans="1:6" x14ac:dyDescent="0.3">
      <c r="A433">
        <v>432</v>
      </c>
      <c r="B433" t="s">
        <v>455</v>
      </c>
      <c r="C433" t="s">
        <v>943</v>
      </c>
      <c r="D433" t="str">
        <f t="shared" si="6"/>
        <v>DIRECCIÓN CLIENTE 432</v>
      </c>
      <c r="E433" t="s">
        <v>1010</v>
      </c>
      <c r="F433" t="s">
        <v>1012</v>
      </c>
    </row>
    <row r="434" spans="1:6" x14ac:dyDescent="0.3">
      <c r="A434">
        <v>433</v>
      </c>
      <c r="B434" t="s">
        <v>456</v>
      </c>
      <c r="C434" t="s">
        <v>944</v>
      </c>
      <c r="D434" t="str">
        <f t="shared" si="6"/>
        <v>DIRECCIÓN CLIENTE 433</v>
      </c>
      <c r="E434" t="s">
        <v>1003</v>
      </c>
      <c r="F434" t="s">
        <v>1012</v>
      </c>
    </row>
    <row r="435" spans="1:6" x14ac:dyDescent="0.3">
      <c r="A435">
        <v>434</v>
      </c>
      <c r="B435" t="s">
        <v>457</v>
      </c>
      <c r="C435" t="s">
        <v>945</v>
      </c>
      <c r="D435" t="str">
        <f t="shared" si="6"/>
        <v>DIRECCIÓN CLIENTE 434</v>
      </c>
      <c r="E435" t="s">
        <v>1004</v>
      </c>
      <c r="F435" t="s">
        <v>1012</v>
      </c>
    </row>
    <row r="436" spans="1:6" x14ac:dyDescent="0.3">
      <c r="A436">
        <v>435</v>
      </c>
      <c r="B436" t="s">
        <v>458</v>
      </c>
      <c r="C436" t="s">
        <v>946</v>
      </c>
      <c r="D436" t="str">
        <f t="shared" si="6"/>
        <v>DIRECCIÓN CLIENTE 435</v>
      </c>
      <c r="E436" t="s">
        <v>1005</v>
      </c>
      <c r="F436" t="s">
        <v>1012</v>
      </c>
    </row>
    <row r="437" spans="1:6" x14ac:dyDescent="0.3">
      <c r="A437">
        <v>436</v>
      </c>
      <c r="B437" t="s">
        <v>459</v>
      </c>
      <c r="C437" t="s">
        <v>947</v>
      </c>
      <c r="D437" t="str">
        <f t="shared" si="6"/>
        <v>DIRECCIÓN CLIENTE 436</v>
      </c>
      <c r="E437" t="s">
        <v>1006</v>
      </c>
      <c r="F437" t="s">
        <v>1012</v>
      </c>
    </row>
    <row r="438" spans="1:6" x14ac:dyDescent="0.3">
      <c r="A438">
        <v>437</v>
      </c>
      <c r="B438" t="s">
        <v>460</v>
      </c>
      <c r="C438" t="s">
        <v>948</v>
      </c>
      <c r="D438" t="str">
        <f t="shared" si="6"/>
        <v>DIRECCIÓN CLIENTE 437</v>
      </c>
      <c r="E438" t="s">
        <v>1007</v>
      </c>
      <c r="F438" t="s">
        <v>1012</v>
      </c>
    </row>
    <row r="439" spans="1:6" x14ac:dyDescent="0.3">
      <c r="A439">
        <v>438</v>
      </c>
      <c r="B439" t="s">
        <v>461</v>
      </c>
      <c r="C439" t="s">
        <v>949</v>
      </c>
      <c r="D439" t="str">
        <f t="shared" si="6"/>
        <v>DIRECCIÓN CLIENTE 438</v>
      </c>
      <c r="E439" t="s">
        <v>1008</v>
      </c>
      <c r="F439" t="s">
        <v>1012</v>
      </c>
    </row>
    <row r="440" spans="1:6" x14ac:dyDescent="0.3">
      <c r="A440">
        <v>439</v>
      </c>
      <c r="B440" t="s">
        <v>462</v>
      </c>
      <c r="C440" t="s">
        <v>950</v>
      </c>
      <c r="D440" t="str">
        <f t="shared" si="6"/>
        <v>DIRECCIÓN CLIENTE 439</v>
      </c>
      <c r="E440" t="s">
        <v>1009</v>
      </c>
      <c r="F440" t="s">
        <v>1012</v>
      </c>
    </row>
    <row r="441" spans="1:6" x14ac:dyDescent="0.3">
      <c r="A441">
        <v>440</v>
      </c>
      <c r="B441" t="s">
        <v>463</v>
      </c>
      <c r="C441" t="s">
        <v>951</v>
      </c>
      <c r="D441" t="str">
        <f t="shared" si="6"/>
        <v>DIRECCIÓN CLIENTE 440</v>
      </c>
      <c r="E441" t="s">
        <v>1010</v>
      </c>
      <c r="F441" t="s">
        <v>1012</v>
      </c>
    </row>
    <row r="442" spans="1:6" x14ac:dyDescent="0.3">
      <c r="A442">
        <v>441</v>
      </c>
      <c r="B442" t="s">
        <v>464</v>
      </c>
      <c r="C442" t="s">
        <v>952</v>
      </c>
      <c r="D442" t="str">
        <f t="shared" si="6"/>
        <v>DIRECCIÓN CLIENTE 441</v>
      </c>
      <c r="E442" t="s">
        <v>1003</v>
      </c>
      <c r="F442" t="s">
        <v>1012</v>
      </c>
    </row>
    <row r="443" spans="1:6" x14ac:dyDescent="0.3">
      <c r="A443">
        <v>442</v>
      </c>
      <c r="B443" t="s">
        <v>465</v>
      </c>
      <c r="C443" t="s">
        <v>953</v>
      </c>
      <c r="D443" t="str">
        <f t="shared" si="6"/>
        <v>DIRECCIÓN CLIENTE 442</v>
      </c>
      <c r="E443" t="s">
        <v>1004</v>
      </c>
      <c r="F443" t="s">
        <v>1012</v>
      </c>
    </row>
    <row r="444" spans="1:6" x14ac:dyDescent="0.3">
      <c r="A444">
        <v>443</v>
      </c>
      <c r="B444" t="s">
        <v>466</v>
      </c>
      <c r="C444" t="s">
        <v>954</v>
      </c>
      <c r="D444" t="str">
        <f t="shared" si="6"/>
        <v>DIRECCIÓN CLIENTE 443</v>
      </c>
      <c r="E444" t="s">
        <v>1005</v>
      </c>
      <c r="F444" t="s">
        <v>1012</v>
      </c>
    </row>
    <row r="445" spans="1:6" x14ac:dyDescent="0.3">
      <c r="A445">
        <v>444</v>
      </c>
      <c r="B445" t="s">
        <v>467</v>
      </c>
      <c r="C445" t="s">
        <v>955</v>
      </c>
      <c r="D445" t="str">
        <f t="shared" si="6"/>
        <v>DIRECCIÓN CLIENTE 444</v>
      </c>
      <c r="E445" t="s">
        <v>1006</v>
      </c>
      <c r="F445" t="s">
        <v>1012</v>
      </c>
    </row>
    <row r="446" spans="1:6" x14ac:dyDescent="0.3">
      <c r="A446">
        <v>445</v>
      </c>
      <c r="B446" t="s">
        <v>468</v>
      </c>
      <c r="C446" t="s">
        <v>956</v>
      </c>
      <c r="D446" t="str">
        <f t="shared" si="6"/>
        <v>DIRECCIÓN CLIENTE 445</v>
      </c>
      <c r="E446" t="s">
        <v>1007</v>
      </c>
      <c r="F446" t="s">
        <v>1012</v>
      </c>
    </row>
    <row r="447" spans="1:6" x14ac:dyDescent="0.3">
      <c r="A447">
        <v>446</v>
      </c>
      <c r="B447" t="s">
        <v>469</v>
      </c>
      <c r="C447" t="s">
        <v>957</v>
      </c>
      <c r="D447" t="str">
        <f t="shared" si="6"/>
        <v>DIRECCIÓN CLIENTE 446</v>
      </c>
      <c r="E447" t="s">
        <v>1008</v>
      </c>
      <c r="F447" t="s">
        <v>1012</v>
      </c>
    </row>
    <row r="448" spans="1:6" x14ac:dyDescent="0.3">
      <c r="A448">
        <v>447</v>
      </c>
      <c r="B448" t="s">
        <v>470</v>
      </c>
      <c r="C448" t="s">
        <v>958</v>
      </c>
      <c r="D448" t="str">
        <f t="shared" si="6"/>
        <v>DIRECCIÓN CLIENTE 447</v>
      </c>
      <c r="E448" t="s">
        <v>1009</v>
      </c>
      <c r="F448" t="s">
        <v>1012</v>
      </c>
    </row>
    <row r="449" spans="1:6" x14ac:dyDescent="0.3">
      <c r="A449">
        <v>448</v>
      </c>
      <c r="B449" t="s">
        <v>471</v>
      </c>
      <c r="C449" t="s">
        <v>959</v>
      </c>
      <c r="D449" t="str">
        <f t="shared" si="6"/>
        <v>DIRECCIÓN CLIENTE 448</v>
      </c>
      <c r="E449" t="s">
        <v>1010</v>
      </c>
      <c r="F449" t="s">
        <v>1012</v>
      </c>
    </row>
    <row r="450" spans="1:6" x14ac:dyDescent="0.3">
      <c r="A450">
        <v>449</v>
      </c>
      <c r="B450" t="s">
        <v>472</v>
      </c>
      <c r="C450" t="s">
        <v>960</v>
      </c>
      <c r="D450" t="str">
        <f t="shared" si="6"/>
        <v>DIRECCIÓN CLIENTE 449</v>
      </c>
      <c r="E450" t="s">
        <v>1003</v>
      </c>
      <c r="F450" t="s">
        <v>1012</v>
      </c>
    </row>
    <row r="451" spans="1:6" x14ac:dyDescent="0.3">
      <c r="A451">
        <v>450</v>
      </c>
      <c r="B451" t="s">
        <v>473</v>
      </c>
      <c r="C451" t="s">
        <v>961</v>
      </c>
      <c r="D451" t="str">
        <f t="shared" ref="D451:D489" si="7">+"DIRECCIÓN CLIENTE "&amp;A451</f>
        <v>DIRECCIÓN CLIENTE 450</v>
      </c>
      <c r="E451" t="s">
        <v>1004</v>
      </c>
      <c r="F451" t="s">
        <v>1012</v>
      </c>
    </row>
    <row r="452" spans="1:6" x14ac:dyDescent="0.3">
      <c r="A452">
        <v>451</v>
      </c>
      <c r="B452" t="s">
        <v>474</v>
      </c>
      <c r="C452" t="s">
        <v>962</v>
      </c>
      <c r="D452" t="str">
        <f t="shared" si="7"/>
        <v>DIRECCIÓN CLIENTE 451</v>
      </c>
      <c r="E452" t="s">
        <v>1005</v>
      </c>
      <c r="F452" t="s">
        <v>1012</v>
      </c>
    </row>
    <row r="453" spans="1:6" x14ac:dyDescent="0.3">
      <c r="A453">
        <v>452</v>
      </c>
      <c r="B453" t="s">
        <v>475</v>
      </c>
      <c r="C453" t="s">
        <v>963</v>
      </c>
      <c r="D453" t="str">
        <f t="shared" si="7"/>
        <v>DIRECCIÓN CLIENTE 452</v>
      </c>
      <c r="E453" t="s">
        <v>1006</v>
      </c>
      <c r="F453" t="s">
        <v>1012</v>
      </c>
    </row>
    <row r="454" spans="1:6" x14ac:dyDescent="0.3">
      <c r="A454">
        <v>453</v>
      </c>
      <c r="B454" t="s">
        <v>476</v>
      </c>
      <c r="C454" t="s">
        <v>964</v>
      </c>
      <c r="D454" t="str">
        <f t="shared" si="7"/>
        <v>DIRECCIÓN CLIENTE 453</v>
      </c>
      <c r="E454" t="s">
        <v>1007</v>
      </c>
      <c r="F454" t="s">
        <v>1012</v>
      </c>
    </row>
    <row r="455" spans="1:6" x14ac:dyDescent="0.3">
      <c r="A455">
        <v>454</v>
      </c>
      <c r="B455" t="s">
        <v>477</v>
      </c>
      <c r="C455" t="s">
        <v>965</v>
      </c>
      <c r="D455" t="str">
        <f t="shared" si="7"/>
        <v>DIRECCIÓN CLIENTE 454</v>
      </c>
      <c r="E455" t="s">
        <v>1008</v>
      </c>
      <c r="F455" t="s">
        <v>1012</v>
      </c>
    </row>
    <row r="456" spans="1:6" x14ac:dyDescent="0.3">
      <c r="A456">
        <v>455</v>
      </c>
      <c r="B456" t="s">
        <v>478</v>
      </c>
      <c r="C456" t="s">
        <v>966</v>
      </c>
      <c r="D456" t="str">
        <f t="shared" si="7"/>
        <v>DIRECCIÓN CLIENTE 455</v>
      </c>
      <c r="E456" t="s">
        <v>1009</v>
      </c>
      <c r="F456" t="s">
        <v>1012</v>
      </c>
    </row>
    <row r="457" spans="1:6" x14ac:dyDescent="0.3">
      <c r="A457">
        <v>456</v>
      </c>
      <c r="B457" t="s">
        <v>479</v>
      </c>
      <c r="C457" t="s">
        <v>967</v>
      </c>
      <c r="D457" t="str">
        <f t="shared" si="7"/>
        <v>DIRECCIÓN CLIENTE 456</v>
      </c>
      <c r="E457" t="s">
        <v>1010</v>
      </c>
      <c r="F457" t="s">
        <v>1012</v>
      </c>
    </row>
    <row r="458" spans="1:6" x14ac:dyDescent="0.3">
      <c r="A458">
        <v>457</v>
      </c>
      <c r="B458" t="s">
        <v>480</v>
      </c>
      <c r="C458" t="s">
        <v>968</v>
      </c>
      <c r="D458" t="str">
        <f t="shared" si="7"/>
        <v>DIRECCIÓN CLIENTE 457</v>
      </c>
      <c r="E458" t="s">
        <v>1003</v>
      </c>
      <c r="F458" t="s">
        <v>1012</v>
      </c>
    </row>
    <row r="459" spans="1:6" x14ac:dyDescent="0.3">
      <c r="A459">
        <v>458</v>
      </c>
      <c r="B459" t="s">
        <v>481</v>
      </c>
      <c r="C459" t="s">
        <v>969</v>
      </c>
      <c r="D459" t="str">
        <f t="shared" si="7"/>
        <v>DIRECCIÓN CLIENTE 458</v>
      </c>
      <c r="E459" t="s">
        <v>1004</v>
      </c>
      <c r="F459" t="s">
        <v>1012</v>
      </c>
    </row>
    <row r="460" spans="1:6" x14ac:dyDescent="0.3">
      <c r="A460">
        <v>459</v>
      </c>
      <c r="B460" t="s">
        <v>482</v>
      </c>
      <c r="C460" t="s">
        <v>970</v>
      </c>
      <c r="D460" t="str">
        <f t="shared" si="7"/>
        <v>DIRECCIÓN CLIENTE 459</v>
      </c>
      <c r="E460" t="s">
        <v>1005</v>
      </c>
      <c r="F460" t="s">
        <v>1012</v>
      </c>
    </row>
    <row r="461" spans="1:6" x14ac:dyDescent="0.3">
      <c r="A461">
        <v>460</v>
      </c>
      <c r="B461" t="s">
        <v>483</v>
      </c>
      <c r="C461" t="s">
        <v>971</v>
      </c>
      <c r="D461" t="str">
        <f t="shared" si="7"/>
        <v>DIRECCIÓN CLIENTE 460</v>
      </c>
      <c r="E461" t="s">
        <v>1006</v>
      </c>
      <c r="F461" t="s">
        <v>1012</v>
      </c>
    </row>
    <row r="462" spans="1:6" x14ac:dyDescent="0.3">
      <c r="A462">
        <v>461</v>
      </c>
      <c r="B462" t="s">
        <v>484</v>
      </c>
      <c r="C462" t="s">
        <v>972</v>
      </c>
      <c r="D462" t="str">
        <f t="shared" si="7"/>
        <v>DIRECCIÓN CLIENTE 461</v>
      </c>
      <c r="E462" t="s">
        <v>1007</v>
      </c>
      <c r="F462" t="s">
        <v>1012</v>
      </c>
    </row>
    <row r="463" spans="1:6" x14ac:dyDescent="0.3">
      <c r="A463">
        <v>462</v>
      </c>
      <c r="B463" t="s">
        <v>485</v>
      </c>
      <c r="C463" t="s">
        <v>973</v>
      </c>
      <c r="D463" t="str">
        <f t="shared" si="7"/>
        <v>DIRECCIÓN CLIENTE 462</v>
      </c>
      <c r="E463" t="s">
        <v>1008</v>
      </c>
      <c r="F463" t="s">
        <v>1012</v>
      </c>
    </row>
    <row r="464" spans="1:6" x14ac:dyDescent="0.3">
      <c r="A464">
        <v>463</v>
      </c>
      <c r="B464" t="s">
        <v>486</v>
      </c>
      <c r="C464" t="s">
        <v>974</v>
      </c>
      <c r="D464" t="str">
        <f t="shared" si="7"/>
        <v>DIRECCIÓN CLIENTE 463</v>
      </c>
      <c r="E464" t="s">
        <v>1009</v>
      </c>
      <c r="F464" t="s">
        <v>1012</v>
      </c>
    </row>
    <row r="465" spans="1:6" x14ac:dyDescent="0.3">
      <c r="A465">
        <v>464</v>
      </c>
      <c r="B465" t="s">
        <v>487</v>
      </c>
      <c r="C465" t="s">
        <v>975</v>
      </c>
      <c r="D465" t="str">
        <f t="shared" si="7"/>
        <v>DIRECCIÓN CLIENTE 464</v>
      </c>
      <c r="E465" t="s">
        <v>1010</v>
      </c>
      <c r="F465" t="s">
        <v>1012</v>
      </c>
    </row>
    <row r="466" spans="1:6" x14ac:dyDescent="0.3">
      <c r="A466">
        <v>465</v>
      </c>
      <c r="B466" t="s">
        <v>488</v>
      </c>
      <c r="C466" t="s">
        <v>976</v>
      </c>
      <c r="D466" t="str">
        <f t="shared" si="7"/>
        <v>DIRECCIÓN CLIENTE 465</v>
      </c>
      <c r="E466" t="s">
        <v>1003</v>
      </c>
      <c r="F466" t="s">
        <v>1012</v>
      </c>
    </row>
    <row r="467" spans="1:6" x14ac:dyDescent="0.3">
      <c r="A467">
        <v>466</v>
      </c>
      <c r="B467" t="s">
        <v>489</v>
      </c>
      <c r="C467" t="s">
        <v>977</v>
      </c>
      <c r="D467" t="str">
        <f t="shared" si="7"/>
        <v>DIRECCIÓN CLIENTE 466</v>
      </c>
      <c r="E467" t="s">
        <v>1004</v>
      </c>
      <c r="F467" t="s">
        <v>1012</v>
      </c>
    </row>
    <row r="468" spans="1:6" x14ac:dyDescent="0.3">
      <c r="A468">
        <v>467</v>
      </c>
      <c r="B468" t="s">
        <v>490</v>
      </c>
      <c r="C468" t="s">
        <v>978</v>
      </c>
      <c r="D468" t="str">
        <f t="shared" si="7"/>
        <v>DIRECCIÓN CLIENTE 467</v>
      </c>
      <c r="E468" t="s">
        <v>1005</v>
      </c>
      <c r="F468" t="s">
        <v>1012</v>
      </c>
    </row>
    <row r="469" spans="1:6" x14ac:dyDescent="0.3">
      <c r="A469">
        <v>468</v>
      </c>
      <c r="B469" t="s">
        <v>491</v>
      </c>
      <c r="C469" t="s">
        <v>979</v>
      </c>
      <c r="D469" t="str">
        <f t="shared" si="7"/>
        <v>DIRECCIÓN CLIENTE 468</v>
      </c>
      <c r="E469" t="s">
        <v>1006</v>
      </c>
      <c r="F469" t="s">
        <v>1012</v>
      </c>
    </row>
    <row r="470" spans="1:6" x14ac:dyDescent="0.3">
      <c r="A470">
        <v>469</v>
      </c>
      <c r="B470" t="s">
        <v>492</v>
      </c>
      <c r="C470" t="s">
        <v>980</v>
      </c>
      <c r="D470" t="str">
        <f t="shared" si="7"/>
        <v>DIRECCIÓN CLIENTE 469</v>
      </c>
      <c r="E470" t="s">
        <v>1007</v>
      </c>
      <c r="F470" t="s">
        <v>1012</v>
      </c>
    </row>
    <row r="471" spans="1:6" x14ac:dyDescent="0.3">
      <c r="A471">
        <v>470</v>
      </c>
      <c r="B471" t="s">
        <v>493</v>
      </c>
      <c r="C471" t="s">
        <v>981</v>
      </c>
      <c r="D471" t="str">
        <f t="shared" si="7"/>
        <v>DIRECCIÓN CLIENTE 470</v>
      </c>
      <c r="E471" t="s">
        <v>1008</v>
      </c>
      <c r="F471" t="s">
        <v>1012</v>
      </c>
    </row>
    <row r="472" spans="1:6" x14ac:dyDescent="0.3">
      <c r="A472">
        <v>471</v>
      </c>
      <c r="B472" t="s">
        <v>494</v>
      </c>
      <c r="C472" t="s">
        <v>982</v>
      </c>
      <c r="D472" t="str">
        <f t="shared" si="7"/>
        <v>DIRECCIÓN CLIENTE 471</v>
      </c>
      <c r="E472" t="s">
        <v>1009</v>
      </c>
      <c r="F472" t="s">
        <v>1012</v>
      </c>
    </row>
    <row r="473" spans="1:6" x14ac:dyDescent="0.3">
      <c r="A473">
        <v>472</v>
      </c>
      <c r="B473" t="s">
        <v>495</v>
      </c>
      <c r="C473" t="s">
        <v>983</v>
      </c>
      <c r="D473" t="str">
        <f t="shared" si="7"/>
        <v>DIRECCIÓN CLIENTE 472</v>
      </c>
      <c r="E473" t="s">
        <v>1010</v>
      </c>
      <c r="F473" t="s">
        <v>1012</v>
      </c>
    </row>
    <row r="474" spans="1:6" x14ac:dyDescent="0.3">
      <c r="A474">
        <v>473</v>
      </c>
      <c r="B474" t="s">
        <v>496</v>
      </c>
      <c r="C474" t="s">
        <v>984</v>
      </c>
      <c r="D474" t="str">
        <f t="shared" si="7"/>
        <v>DIRECCIÓN CLIENTE 473</v>
      </c>
      <c r="E474" t="s">
        <v>1003</v>
      </c>
      <c r="F474" t="s">
        <v>1012</v>
      </c>
    </row>
    <row r="475" spans="1:6" x14ac:dyDescent="0.3">
      <c r="A475">
        <v>474</v>
      </c>
      <c r="B475" t="s">
        <v>497</v>
      </c>
      <c r="C475" t="s">
        <v>985</v>
      </c>
      <c r="D475" t="str">
        <f t="shared" si="7"/>
        <v>DIRECCIÓN CLIENTE 474</v>
      </c>
      <c r="E475" t="s">
        <v>1004</v>
      </c>
      <c r="F475" t="s">
        <v>1012</v>
      </c>
    </row>
    <row r="476" spans="1:6" x14ac:dyDescent="0.3">
      <c r="A476">
        <v>475</v>
      </c>
      <c r="B476" t="s">
        <v>498</v>
      </c>
      <c r="C476" t="s">
        <v>986</v>
      </c>
      <c r="D476" t="str">
        <f t="shared" si="7"/>
        <v>DIRECCIÓN CLIENTE 475</v>
      </c>
      <c r="E476" t="s">
        <v>1005</v>
      </c>
      <c r="F476" t="s">
        <v>1012</v>
      </c>
    </row>
    <row r="477" spans="1:6" x14ac:dyDescent="0.3">
      <c r="A477">
        <v>476</v>
      </c>
      <c r="B477" t="s">
        <v>499</v>
      </c>
      <c r="C477" t="s">
        <v>987</v>
      </c>
      <c r="D477" t="str">
        <f t="shared" si="7"/>
        <v>DIRECCIÓN CLIENTE 476</v>
      </c>
      <c r="E477" t="s">
        <v>1006</v>
      </c>
      <c r="F477" t="s">
        <v>1012</v>
      </c>
    </row>
    <row r="478" spans="1:6" x14ac:dyDescent="0.3">
      <c r="A478">
        <v>477</v>
      </c>
      <c r="B478" t="s">
        <v>500</v>
      </c>
      <c r="C478" t="s">
        <v>988</v>
      </c>
      <c r="D478" t="str">
        <f t="shared" si="7"/>
        <v>DIRECCIÓN CLIENTE 477</v>
      </c>
      <c r="E478" t="s">
        <v>1007</v>
      </c>
      <c r="F478" t="s">
        <v>1012</v>
      </c>
    </row>
    <row r="479" spans="1:6" x14ac:dyDescent="0.3">
      <c r="A479">
        <v>478</v>
      </c>
      <c r="B479" t="s">
        <v>501</v>
      </c>
      <c r="C479" t="s">
        <v>989</v>
      </c>
      <c r="D479" t="str">
        <f t="shared" si="7"/>
        <v>DIRECCIÓN CLIENTE 478</v>
      </c>
      <c r="E479" t="s">
        <v>1008</v>
      </c>
      <c r="F479" t="s">
        <v>1012</v>
      </c>
    </row>
    <row r="480" spans="1:6" x14ac:dyDescent="0.3">
      <c r="A480">
        <v>479</v>
      </c>
      <c r="B480" t="s">
        <v>502</v>
      </c>
      <c r="C480" t="s">
        <v>990</v>
      </c>
      <c r="D480" t="str">
        <f t="shared" si="7"/>
        <v>DIRECCIÓN CLIENTE 479</v>
      </c>
      <c r="E480" t="s">
        <v>1009</v>
      </c>
      <c r="F480" t="s">
        <v>1012</v>
      </c>
    </row>
    <row r="481" spans="1:6" x14ac:dyDescent="0.3">
      <c r="A481">
        <v>480</v>
      </c>
      <c r="B481" t="s">
        <v>503</v>
      </c>
      <c r="C481" t="s">
        <v>991</v>
      </c>
      <c r="D481" t="str">
        <f t="shared" si="7"/>
        <v>DIRECCIÓN CLIENTE 480</v>
      </c>
      <c r="E481" t="s">
        <v>1010</v>
      </c>
      <c r="F481" t="s">
        <v>1012</v>
      </c>
    </row>
    <row r="482" spans="1:6" x14ac:dyDescent="0.3">
      <c r="A482">
        <v>481</v>
      </c>
      <c r="B482" t="s">
        <v>504</v>
      </c>
      <c r="C482" t="s">
        <v>992</v>
      </c>
      <c r="D482" t="str">
        <f t="shared" si="7"/>
        <v>DIRECCIÓN CLIENTE 481</v>
      </c>
      <c r="E482" t="s">
        <v>1003</v>
      </c>
      <c r="F482" t="s">
        <v>1012</v>
      </c>
    </row>
    <row r="483" spans="1:6" x14ac:dyDescent="0.3">
      <c r="A483">
        <v>482</v>
      </c>
      <c r="B483" t="s">
        <v>505</v>
      </c>
      <c r="C483" t="s">
        <v>993</v>
      </c>
      <c r="D483" t="str">
        <f t="shared" si="7"/>
        <v>DIRECCIÓN CLIENTE 482</v>
      </c>
      <c r="E483" t="s">
        <v>1004</v>
      </c>
      <c r="F483" t="s">
        <v>1012</v>
      </c>
    </row>
    <row r="484" spans="1:6" x14ac:dyDescent="0.3">
      <c r="A484">
        <v>483</v>
      </c>
      <c r="B484" t="s">
        <v>506</v>
      </c>
      <c r="C484" t="s">
        <v>994</v>
      </c>
      <c r="D484" t="str">
        <f t="shared" si="7"/>
        <v>DIRECCIÓN CLIENTE 483</v>
      </c>
      <c r="E484" t="s">
        <v>1005</v>
      </c>
      <c r="F484" t="s">
        <v>1012</v>
      </c>
    </row>
    <row r="485" spans="1:6" x14ac:dyDescent="0.3">
      <c r="A485">
        <v>484</v>
      </c>
      <c r="B485" t="s">
        <v>507</v>
      </c>
      <c r="C485" t="s">
        <v>995</v>
      </c>
      <c r="D485" t="str">
        <f t="shared" si="7"/>
        <v>DIRECCIÓN CLIENTE 484</v>
      </c>
      <c r="E485" t="s">
        <v>1006</v>
      </c>
      <c r="F485" t="s">
        <v>1012</v>
      </c>
    </row>
    <row r="486" spans="1:6" x14ac:dyDescent="0.3">
      <c r="A486">
        <v>485</v>
      </c>
      <c r="B486" t="s">
        <v>508</v>
      </c>
      <c r="C486" t="s">
        <v>996</v>
      </c>
      <c r="D486" t="str">
        <f t="shared" si="7"/>
        <v>DIRECCIÓN CLIENTE 485</v>
      </c>
      <c r="E486" t="s">
        <v>1007</v>
      </c>
      <c r="F486" t="s">
        <v>1012</v>
      </c>
    </row>
    <row r="487" spans="1:6" x14ac:dyDescent="0.3">
      <c r="A487">
        <v>486</v>
      </c>
      <c r="B487" t="s">
        <v>509</v>
      </c>
      <c r="C487" t="s">
        <v>997</v>
      </c>
      <c r="D487" t="str">
        <f t="shared" si="7"/>
        <v>DIRECCIÓN CLIENTE 486</v>
      </c>
      <c r="E487" t="s">
        <v>1008</v>
      </c>
      <c r="F487" t="s">
        <v>1012</v>
      </c>
    </row>
    <row r="488" spans="1:6" x14ac:dyDescent="0.3">
      <c r="A488">
        <v>487</v>
      </c>
      <c r="B488" t="s">
        <v>510</v>
      </c>
      <c r="C488" t="s">
        <v>998</v>
      </c>
      <c r="D488" t="str">
        <f t="shared" si="7"/>
        <v>DIRECCIÓN CLIENTE 487</v>
      </c>
      <c r="E488" t="s">
        <v>1009</v>
      </c>
      <c r="F488" t="s">
        <v>1012</v>
      </c>
    </row>
    <row r="489" spans="1:6" x14ac:dyDescent="0.3">
      <c r="A489">
        <v>488</v>
      </c>
      <c r="B489" t="s">
        <v>511</v>
      </c>
      <c r="C489" t="s">
        <v>999</v>
      </c>
      <c r="D489" t="str">
        <f t="shared" si="7"/>
        <v>DIRECCIÓN CLIENTE 488</v>
      </c>
      <c r="E489" t="s">
        <v>1010</v>
      </c>
      <c r="F489" t="s">
        <v>1012</v>
      </c>
    </row>
  </sheetData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C17"/>
  <sheetViews>
    <sheetView workbookViewId="0">
      <selection activeCell="B28" sqref="B28"/>
    </sheetView>
  </sheetViews>
  <sheetFormatPr baseColWidth="10" defaultRowHeight="15" x14ac:dyDescent="0.3"/>
  <cols>
    <col min="2" max="2" width="23.5703125" bestFit="1" customWidth="1"/>
  </cols>
  <sheetData>
    <row r="1" spans="1:3" x14ac:dyDescent="0.3">
      <c r="A1" t="s">
        <v>1048</v>
      </c>
      <c r="B1" t="s">
        <v>1049</v>
      </c>
      <c r="C1" t="s">
        <v>1051</v>
      </c>
    </row>
    <row r="2" spans="1:3" x14ac:dyDescent="0.3">
      <c r="A2" t="s">
        <v>1016</v>
      </c>
      <c r="B2" t="s">
        <v>1017</v>
      </c>
      <c r="C2">
        <v>100</v>
      </c>
    </row>
    <row r="3" spans="1:3" x14ac:dyDescent="0.3">
      <c r="A3" t="s">
        <v>1018</v>
      </c>
      <c r="B3" t="s">
        <v>1019</v>
      </c>
      <c r="C3">
        <v>150</v>
      </c>
    </row>
    <row r="4" spans="1:3" x14ac:dyDescent="0.3">
      <c r="A4" t="s">
        <v>1020</v>
      </c>
      <c r="B4" t="s">
        <v>1021</v>
      </c>
      <c r="C4">
        <v>950</v>
      </c>
    </row>
    <row r="5" spans="1:3" x14ac:dyDescent="0.3">
      <c r="A5" t="s">
        <v>1022</v>
      </c>
      <c r="B5" t="s">
        <v>1023</v>
      </c>
      <c r="C5">
        <v>1050</v>
      </c>
    </row>
    <row r="6" spans="1:3" x14ac:dyDescent="0.3">
      <c r="A6" t="s">
        <v>1024</v>
      </c>
      <c r="B6" t="s">
        <v>1025</v>
      </c>
      <c r="C6">
        <v>300</v>
      </c>
    </row>
    <row r="7" spans="1:3" x14ac:dyDescent="0.3">
      <c r="A7" t="s">
        <v>1026</v>
      </c>
      <c r="B7" t="s">
        <v>1027</v>
      </c>
      <c r="C7">
        <v>1200</v>
      </c>
    </row>
    <row r="8" spans="1:3" x14ac:dyDescent="0.3">
      <c r="A8" t="s">
        <v>1028</v>
      </c>
      <c r="B8" t="s">
        <v>1029</v>
      </c>
      <c r="C8">
        <v>1000</v>
      </c>
    </row>
    <row r="9" spans="1:3" x14ac:dyDescent="0.3">
      <c r="A9" t="s">
        <v>1030</v>
      </c>
      <c r="B9" t="s">
        <v>1031</v>
      </c>
      <c r="C9">
        <v>200</v>
      </c>
    </row>
    <row r="10" spans="1:3" x14ac:dyDescent="0.3">
      <c r="A10" t="s">
        <v>1032</v>
      </c>
      <c r="B10" t="s">
        <v>1033</v>
      </c>
      <c r="C10">
        <v>500</v>
      </c>
    </row>
    <row r="11" spans="1:3" x14ac:dyDescent="0.3">
      <c r="A11" t="s">
        <v>1034</v>
      </c>
      <c r="B11" t="s">
        <v>1035</v>
      </c>
      <c r="C11">
        <v>800</v>
      </c>
    </row>
    <row r="12" spans="1:3" x14ac:dyDescent="0.3">
      <c r="A12" t="s">
        <v>1036</v>
      </c>
      <c r="B12" t="s">
        <v>1037</v>
      </c>
      <c r="C12">
        <v>1500</v>
      </c>
    </row>
    <row r="13" spans="1:3" x14ac:dyDescent="0.3">
      <c r="A13" t="s">
        <v>1038</v>
      </c>
      <c r="B13" t="s">
        <v>1039</v>
      </c>
      <c r="C13">
        <v>700</v>
      </c>
    </row>
    <row r="14" spans="1:3" x14ac:dyDescent="0.3">
      <c r="A14" t="s">
        <v>1040</v>
      </c>
      <c r="B14" t="s">
        <v>1041</v>
      </c>
      <c r="C14">
        <v>900</v>
      </c>
    </row>
    <row r="15" spans="1:3" x14ac:dyDescent="0.3">
      <c r="A15" t="s">
        <v>1042</v>
      </c>
      <c r="B15" t="s">
        <v>1043</v>
      </c>
      <c r="C15">
        <v>850</v>
      </c>
    </row>
    <row r="16" spans="1:3" x14ac:dyDescent="0.3">
      <c r="A16" t="s">
        <v>1044</v>
      </c>
      <c r="B16" t="s">
        <v>1045</v>
      </c>
      <c r="C16">
        <v>1600</v>
      </c>
    </row>
    <row r="17" spans="1:3" x14ac:dyDescent="0.3">
      <c r="A17" t="s">
        <v>1046</v>
      </c>
      <c r="B17" t="s">
        <v>1047</v>
      </c>
      <c r="C17">
        <v>1550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Factura</vt:lpstr>
      <vt:lpstr>Clientes</vt:lpstr>
      <vt:lpstr>Productos</vt:lpstr>
    </vt:vector>
  </TitlesOfParts>
  <Company>Vertex42 LLC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Modelo de Factura</dc:title>
  <dc:subject>facturas</dc:subject>
  <dc:creator>www.vertex42.com</dc:creator>
  <cp:keywords>plantilla de factura, modelos de facturas, plantillas</cp:keywords>
  <dc:description>(c) 2010 Vertex42 LLC. All Rights Reserved.</dc:description>
  <cp:lastModifiedBy>Yader Martínez Torres</cp:lastModifiedBy>
  <cp:lastPrinted>2010-04-16T23:02:39Z</cp:lastPrinted>
  <dcterms:created xsi:type="dcterms:W3CDTF">2004-08-16T18:44:14Z</dcterms:created>
  <dcterms:modified xsi:type="dcterms:W3CDTF">2022-06-21T21:45:59Z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pyright">
    <vt:lpwstr>2010 Vertex42 LLC</vt:lpwstr>
  </property>
  <property fmtid="{D5CDD505-2E9C-101B-9397-08002B2CF9AE}" pid="3" name="Version">
    <vt:lpwstr>1.0.0</vt:lpwstr>
  </property>
</Properties>
</file>