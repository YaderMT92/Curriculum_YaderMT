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230" yWindow="45" windowWidth="10275" windowHeight="8115" firstSheet="1" activeTab="4"/>
  </bookViews>
  <sheets>
    <sheet name="IR PNatural" sheetId="1" state="hidden" r:id="rId1"/>
    <sheet name="IR PAsalariada" sheetId="5" r:id="rId2"/>
    <sheet name="IR SV" sheetId="2" r:id="rId3"/>
    <sheet name="Hoja3" sheetId="3" state="hidden" r:id="rId4"/>
    <sheet name="Nuevo" sheetId="6" r:id="rId5"/>
  </sheets>
  <calcPr calcId="144525"/>
</workbook>
</file>

<file path=xl/calcChain.xml><?xml version="1.0" encoding="utf-8"?>
<calcChain xmlns="http://schemas.openxmlformats.org/spreadsheetml/2006/main">
  <c r="M18" i="2" l="1"/>
  <c r="D18" i="2"/>
  <c r="C18" i="2"/>
  <c r="B18" i="2"/>
  <c r="M17" i="2"/>
  <c r="K17" i="2"/>
  <c r="J17" i="2"/>
  <c r="I17" i="2"/>
  <c r="H17" i="2"/>
  <c r="G17" i="2"/>
  <c r="E17" i="2"/>
  <c r="D17" i="2"/>
  <c r="C17" i="2"/>
  <c r="M16" i="2"/>
  <c r="K16" i="2"/>
  <c r="J16" i="2"/>
  <c r="I16" i="2"/>
  <c r="H16" i="2"/>
  <c r="G16" i="2"/>
  <c r="E16" i="2"/>
  <c r="D16" i="2"/>
  <c r="C16" i="2"/>
  <c r="M15" i="2"/>
  <c r="K15" i="2"/>
  <c r="J15" i="2"/>
  <c r="I15" i="2"/>
  <c r="H15" i="2"/>
  <c r="G15" i="2"/>
  <c r="E15" i="2"/>
  <c r="D15" i="2"/>
  <c r="C15" i="2"/>
  <c r="M14" i="2"/>
  <c r="K14" i="2"/>
  <c r="J14" i="2"/>
  <c r="I14" i="2"/>
  <c r="H14" i="2"/>
  <c r="G14" i="2"/>
  <c r="E14" i="2"/>
  <c r="D14" i="2"/>
  <c r="C14" i="2"/>
  <c r="M13" i="2"/>
  <c r="K13" i="2"/>
  <c r="J13" i="2"/>
  <c r="I13" i="2"/>
  <c r="H13" i="2"/>
  <c r="G13" i="2"/>
  <c r="E13" i="2"/>
  <c r="D13" i="2"/>
  <c r="C13" i="2"/>
  <c r="M12" i="2"/>
  <c r="K12" i="2"/>
  <c r="J12" i="2"/>
  <c r="I12" i="2"/>
  <c r="H12" i="2"/>
  <c r="G12" i="2"/>
  <c r="E12" i="2"/>
  <c r="D12" i="2"/>
  <c r="C12" i="2"/>
  <c r="M11" i="2"/>
  <c r="K11" i="2"/>
  <c r="J11" i="2"/>
  <c r="I11" i="2"/>
  <c r="H11" i="2"/>
  <c r="G11" i="2"/>
  <c r="E11" i="2"/>
  <c r="D11" i="2"/>
  <c r="C11" i="2"/>
  <c r="M10" i="2"/>
  <c r="K10" i="2"/>
  <c r="J10" i="2"/>
  <c r="I10" i="2"/>
  <c r="H10" i="2"/>
  <c r="G10" i="2"/>
  <c r="E10" i="2"/>
  <c r="D10" i="2"/>
  <c r="C10" i="2"/>
  <c r="M9" i="2"/>
  <c r="K9" i="2"/>
  <c r="J9" i="2"/>
  <c r="I9" i="2"/>
  <c r="H9" i="2"/>
  <c r="G9" i="2"/>
  <c r="E9" i="2"/>
  <c r="D9" i="2"/>
  <c r="C9" i="2"/>
  <c r="M8" i="2"/>
  <c r="K8" i="2"/>
  <c r="J8" i="2"/>
  <c r="I8" i="2"/>
  <c r="H8" i="2"/>
  <c r="G8" i="2"/>
  <c r="E8" i="2"/>
  <c r="D8" i="2"/>
  <c r="C8" i="2"/>
  <c r="M7" i="2"/>
  <c r="K7" i="2"/>
  <c r="J7" i="2"/>
  <c r="I7" i="2"/>
  <c r="H7" i="2"/>
  <c r="G7" i="2"/>
  <c r="E7" i="2"/>
  <c r="D7" i="2"/>
  <c r="C7" i="2"/>
  <c r="M6" i="2"/>
  <c r="K6" i="2"/>
  <c r="I6" i="2"/>
  <c r="H6" i="2"/>
  <c r="G6" i="2"/>
  <c r="E6" i="2"/>
  <c r="D6" i="2"/>
  <c r="C6" i="2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E12" i="5"/>
  <c r="D12" i="5"/>
  <c r="C12" i="5"/>
  <c r="E11" i="5"/>
  <c r="D11" i="5"/>
  <c r="C11" i="5"/>
  <c r="E10" i="5"/>
  <c r="D10" i="5"/>
  <c r="C10" i="5"/>
  <c r="E9" i="5"/>
  <c r="D9" i="5"/>
  <c r="C9" i="5"/>
  <c r="E8" i="5"/>
  <c r="D8" i="5"/>
  <c r="C8" i="5"/>
  <c r="E7" i="5"/>
  <c r="D7" i="5"/>
  <c r="C7" i="5"/>
  <c r="E6" i="5"/>
  <c r="D6" i="5"/>
  <c r="C6" i="5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</calcChain>
</file>

<file path=xl/sharedStrings.xml><?xml version="1.0" encoding="utf-8"?>
<sst xmlns="http://schemas.openxmlformats.org/spreadsheetml/2006/main" count="67" uniqueCount="47">
  <si>
    <t>porsentaje</t>
  </si>
  <si>
    <t>exceso</t>
  </si>
  <si>
    <t>de</t>
  </si>
  <si>
    <t>a</t>
  </si>
  <si>
    <t>imp base</t>
  </si>
  <si>
    <t>a más</t>
  </si>
  <si>
    <t>IR</t>
  </si>
  <si>
    <t>Sal Base</t>
  </si>
  <si>
    <t>Mes</t>
  </si>
  <si>
    <t>S. Bruto</t>
  </si>
  <si>
    <t>INSS</t>
  </si>
  <si>
    <t>Acumulado</t>
  </si>
  <si>
    <t>Prom. M.</t>
  </si>
  <si>
    <t>Exp. Anual</t>
  </si>
  <si>
    <t>Ret. Acum</t>
  </si>
  <si>
    <t>Saldo x Ret.</t>
  </si>
  <si>
    <t>Mes x Ret.</t>
  </si>
  <si>
    <t>Ret. Mes</t>
  </si>
  <si>
    <t>Salario N.</t>
  </si>
  <si>
    <t>Impuesto Base</t>
  </si>
  <si>
    <t>Renta Gravable (Estratos)</t>
  </si>
  <si>
    <t>De C$</t>
  </si>
  <si>
    <t>Hasta C$</t>
  </si>
  <si>
    <t>Porsentaje aplicable</t>
  </si>
  <si>
    <t>Sobre Exceso de</t>
  </si>
  <si>
    <t>3. Para las personas asalariadas en particular, el impuesto a pagar se calculará de conformidad con la tarifa progresiva sig:</t>
  </si>
  <si>
    <t>TOTAL</t>
  </si>
  <si>
    <t>IR para personas asalariadas (con salario variable)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</si>
  <si>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</si>
  <si>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</si>
  <si>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</si>
  <si>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</si>
  <si>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</si>
  <si>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</si>
  <si>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</si>
  <si>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</si>
  <si>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</si>
  <si>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</si>
  <si>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</si>
  <si>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</si>
  <si>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Salario</t>
  </si>
  <si>
    <t>S. Base</t>
  </si>
  <si>
    <t>TABLA DEL IR PERSONAS ASALARIADAS</t>
  </si>
  <si>
    <t>CALCULO DE IR</t>
  </si>
  <si>
    <t>BASE</t>
  </si>
  <si>
    <t>Seleccionar</t>
  </si>
  <si>
    <t>Seleccionar todas las cantidades (salarios) y precionar el botón de Calcular 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</si>
</sst>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98A8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left" wrapText="1"/>
    </xf>
    <xf numFmtId="0" fontId="0" fillId="0" borderId="4" xfId="0" applyBorder="1"/>
    <xf numFmtId="43" fontId="0" fillId="0" borderId="4" xfId="1" applyFont="1" applyBorder="1"/>
    <xf numFmtId="43" fontId="0" fillId="0" borderId="5" xfId="1" applyFont="1" applyBorder="1"/>
    <xf numFmtId="9" fontId="0" fillId="0" borderId="5" xfId="2" applyFont="1" applyBorder="1"/>
    <xf numFmtId="43" fontId="0" fillId="0" borderId="6" xfId="1" applyFont="1" applyBorder="1"/>
    <xf numFmtId="43" fontId="0" fillId="0" borderId="7" xfId="1" applyFont="1" applyBorder="1"/>
    <xf numFmtId="0" fontId="0" fillId="0" borderId="8" xfId="0" applyBorder="1"/>
    <xf numFmtId="43" fontId="0" fillId="0" borderId="8" xfId="1" applyFont="1" applyBorder="1"/>
    <xf numFmtId="9" fontId="0" fillId="0" borderId="8" xfId="2" applyFont="1" applyBorder="1"/>
    <xf numFmtId="43" fontId="0" fillId="0" borderId="9" xfId="1" applyFont="1" applyBorder="1"/>
    <xf numFmtId="0" fontId="0" fillId="2" borderId="4" xfId="0" applyFill="1" applyBorder="1"/>
    <xf numFmtId="0" fontId="0" fillId="2" borderId="5" xfId="0" applyFill="1" applyBorder="1"/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0" fontId="0" fillId="0" borderId="16" xfId="0" applyBorder="1"/>
    <xf numFmtId="2" fontId="0" fillId="0" borderId="17" xfId="0" applyNumberFormat="1" applyBorder="1"/>
    <xf numFmtId="0" fontId="0" fillId="0" borderId="17" xfId="0" applyBorder="1"/>
    <xf numFmtId="0" fontId="0" fillId="0" borderId="6" xfId="0" applyBorder="1"/>
    <xf numFmtId="2" fontId="0" fillId="0" borderId="6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3" borderId="1" xfId="0" applyFill="1" applyBorder="1"/>
    <xf numFmtId="0" fontId="0" fillId="3" borderId="3" xfId="0" applyFill="1" applyBorder="1"/>
    <xf numFmtId="0" fontId="0" fillId="4" borderId="1" xfId="0" applyFill="1" applyBorder="1" applyAlignment="1">
      <alignment horizontal="center"/>
    </xf>
    <xf numFmtId="43" fontId="0" fillId="4" borderId="2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43" fontId="0" fillId="0" borderId="13" xfId="1" applyFont="1" applyBorder="1"/>
    <xf numFmtId="43" fontId="0" fillId="0" borderId="14" xfId="1" applyFont="1" applyBorder="1"/>
    <xf numFmtId="9" fontId="0" fillId="0" borderId="14" xfId="2" applyFont="1" applyBorder="1"/>
    <xf numFmtId="43" fontId="0" fillId="0" borderId="15" xfId="1" applyFont="1" applyBorder="1"/>
    <xf numFmtId="43" fontId="0" fillId="0" borderId="19" xfId="1" applyFont="1" applyBorder="1"/>
    <xf numFmtId="9" fontId="0" fillId="0" borderId="19" xfId="2" applyFont="1" applyBorder="1"/>
    <xf numFmtId="2" fontId="0" fillId="5" borderId="5" xfId="0" applyNumberFormat="1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43" fontId="0" fillId="0" borderId="0" xfId="1" applyFont="1"/>
    <xf numFmtId="43" fontId="0" fillId="0" borderId="6" xfId="1" applyNumberFormat="1" applyFont="1" applyBorder="1" applyAlignment="1">
      <alignment horizontal="right"/>
    </xf>
    <xf numFmtId="43" fontId="3" fillId="3" borderId="20" xfId="1" applyFont="1" applyFill="1" applyBorder="1" applyAlignment="1">
      <alignment horizontal="center"/>
    </xf>
    <xf numFmtId="43" fontId="3" fillId="3" borderId="21" xfId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43" fontId="3" fillId="4" borderId="2" xfId="1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43" fontId="3" fillId="3" borderId="5" xfId="1" applyFont="1" applyFill="1" applyBorder="1" applyAlignment="1">
      <alignment horizontal="center"/>
    </xf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 vertical="center"/>
    </xf>
    <xf numFmtId="164" fontId="4" fillId="7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6" borderId="24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43" fontId="2" fillId="6" borderId="22" xfId="1" applyFont="1" applyFill="1" applyBorder="1" applyAlignment="1">
      <alignment horizontal="center"/>
    </xf>
    <xf numFmtId="43" fontId="2" fillId="6" borderId="10" xfId="1" applyFont="1" applyFill="1" applyBorder="1" applyAlignment="1">
      <alignment horizontal="center"/>
    </xf>
    <xf numFmtId="43" fontId="2" fillId="6" borderId="23" xfId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164" fontId="0" fillId="5" borderId="0" xfId="1" applyNumberFormat="1" applyFont="1" applyFill="1"/>
    <xf numFmtId="164" fontId="0" fillId="8" borderId="0" xfId="1" applyNumberFormat="1" applyFont="1" applyFill="1"/>
    <xf numFmtId="164" fontId="0" fillId="0" borderId="0" xfId="1" applyNumberFormat="1" applyFont="1" applyAlignment="1">
      <alignment horizontal="center"/>
    </xf>
    <xf numFmtId="164" fontId="0" fillId="5" borderId="0" xfId="1" applyNumberFormat="1" applyFont="1" applyFill="1" applyAlignment="1">
      <alignment horizontal="left"/>
    </xf>
    <xf numFmtId="164" fontId="0" fillId="5" borderId="0" xfId="1" applyNumberFormat="1" applyFont="1" applyFill="1" applyAlignment="1">
      <alignment horizontal="center"/>
    </xf>
    <xf numFmtId="0" fontId="0" fillId="5" borderId="0" xfId="0" applyFill="1"/>
    <xf numFmtId="164" fontId="0" fillId="0" borderId="0" xfId="1" applyNumberFormat="1" applyFont="1" applyFill="1"/>
    <xf numFmtId="0" fontId="4" fillId="0" borderId="0" xfId="0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</xdr:row>
      <xdr:rowOff>85725</xdr:rowOff>
    </xdr:from>
    <xdr:to>
      <xdr:col>4</xdr:col>
      <xdr:colOff>590550</xdr:colOff>
      <xdr:row>3</xdr:row>
      <xdr:rowOff>133350</xdr:rowOff>
    </xdr:to>
    <xdr:sp macro="" textlink="">
      <xdr:nvSpPr>
        <xdr:cNvPr id="2" name="1 Flecha abajo"/>
        <xdr:cNvSpPr/>
      </xdr:nvSpPr>
      <xdr:spPr>
        <a:xfrm>
          <a:off x="2828925" y="276225"/>
          <a:ext cx="333375" cy="43815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126740</xdr:colOff>
      <xdr:row>1</xdr:row>
      <xdr:rowOff>97837</xdr:rowOff>
    </xdr:from>
    <xdr:to>
      <xdr:col>5</xdr:col>
      <xdr:colOff>736339</xdr:colOff>
      <xdr:row>3</xdr:row>
      <xdr:rowOff>85396</xdr:rowOff>
    </xdr:to>
    <xdr:sp macro="[0]!CalculoIR" textlink="">
      <xdr:nvSpPr>
        <xdr:cNvPr id="2" name="1 Bisel"/>
        <xdr:cNvSpPr/>
      </xdr:nvSpPr>
      <xdr:spPr>
        <a:xfrm>
          <a:off x="3174740" y="288337"/>
          <a:ext cx="1371599" cy="368559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800"/>
            <a:t>Calcular</a:t>
          </a:r>
          <a:r>
            <a:rPr lang="es-ES" sz="1800" baseline="0"/>
            <a:t> IR</a:t>
          </a:r>
          <a:endParaRPr lang="es-ES" sz="1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B4:I20"/>
  <sheetViews>
    <sheetView workbookViewId="0">
      <selection activeCell="B8" sqref="B8"/>
    </sheetView>
  </sheetViews>
  <sheetFormatPr baseColWidth="10" defaultRowHeight="15" x14ac:dyDescent="0.25"/>
  <cols>
    <col min="1" max="1" width="6.85546875" customWidth="1"/>
    <col min="3" max="3" width="11.85546875" bestFit="1" customWidth="1"/>
    <col min="4" max="4" width="11.85546875" customWidth="1"/>
  </cols>
  <sheetData>
    <row r="4" spans="2:9" ht="15.75" thickBot="1" x14ac:dyDescent="0.3"/>
    <row r="5" spans="2:9" ht="15.75" thickTop="1" x14ac:dyDescent="0.25">
      <c r="B5" s="29" t="s">
        <v>7</v>
      </c>
      <c r="C5" s="30" t="s">
        <v>6</v>
      </c>
      <c r="E5" s="31" t="s">
        <v>2</v>
      </c>
      <c r="F5" s="32" t="s">
        <v>3</v>
      </c>
      <c r="G5" s="33" t="s">
        <v>4</v>
      </c>
      <c r="H5" s="33" t="s">
        <v>0</v>
      </c>
      <c r="I5" s="34" t="s">
        <v>1</v>
      </c>
    </row>
    <row r="6" spans="2:9" x14ac:dyDescent="0.25">
      <c r="B6" s="2">
        <v>55000</v>
      </c>
      <c r="C6" s="24">
        <f>IF(AND((B6*12)&gt;=$E$7,(B6*12)&lt;=$F$7),(((((B6*12)-$I$7)*$H$7)+$G$7)/12),IF(AND((B6*12)&gt;=$E$8,(B6*12)&lt;=$F$8),(((((B6*12)-$I$8)*$H$8)+$G$8)/12),IF(AND((B6*12)&gt;=$E$9,(B6*12)&lt;=$F$9),(((((B6*12)-$I$9)*$H$9)+$G$9)/12),IF(AND((B6*12)&gt;=$E$10,(B6*12)&lt;=$F$10),(((((B6*12)-$I$10)*$H$10)+$G$10)/12),IF((B6*12)&gt;=$E$11,(((((B6*12)-$I$11)*$H$11)+$G$11)/12),"0")))))</f>
        <v>11500</v>
      </c>
      <c r="E6" s="3">
        <v>1</v>
      </c>
      <c r="F6" s="4">
        <v>50000</v>
      </c>
      <c r="G6" s="4">
        <v>0</v>
      </c>
      <c r="H6" s="5">
        <v>0</v>
      </c>
      <c r="I6" s="24">
        <v>0</v>
      </c>
    </row>
    <row r="7" spans="2:9" x14ac:dyDescent="0.25">
      <c r="B7" s="2"/>
      <c r="C7" s="24" t="str">
        <f t="shared" ref="C7:C20" si="0">IF(AND((B7*12)&gt;=$E$7,(B7*12)&lt;=$F$7),(((((B7*12)-$I$7)*$H$7)+$G$7)/12),IF(AND((B7*12)&gt;=$E$8,(B7*12)&lt;=$F$8),(((((B7*12)-$I$8)*$H$8)+$G$8)/12),IF(AND((B7*12)&gt;=$E$9,(B7*12)&lt;=$F$9),(((((B7*12)-$I$9)*$H$9)+$G$9)/12),IF(AND((B7*12)&gt;=$E$10,(B7*12)&lt;=$F$10),(((((B7*12)-$I$10)*$H$10)+$G$10)/12),IF((B7*12)&gt;=$E$11,(((((B7*12)-$I$11)*$H$11)+$G$11)/12),"0")))))</f>
        <v>0</v>
      </c>
      <c r="E7" s="3">
        <v>50000.01</v>
      </c>
      <c r="F7" s="4">
        <v>100000</v>
      </c>
      <c r="G7" s="4">
        <v>0</v>
      </c>
      <c r="H7" s="5">
        <v>0.1</v>
      </c>
      <c r="I7" s="6">
        <v>50000</v>
      </c>
    </row>
    <row r="8" spans="2:9" x14ac:dyDescent="0.25">
      <c r="B8" s="2"/>
      <c r="C8" s="24" t="str">
        <f t="shared" si="0"/>
        <v>0</v>
      </c>
      <c r="E8" s="3">
        <v>100000.01</v>
      </c>
      <c r="F8" s="4">
        <v>200000</v>
      </c>
      <c r="G8" s="4">
        <v>5000</v>
      </c>
      <c r="H8" s="5">
        <v>0.15</v>
      </c>
      <c r="I8" s="6">
        <v>100000</v>
      </c>
    </row>
    <row r="9" spans="2:9" x14ac:dyDescent="0.25">
      <c r="B9" s="2"/>
      <c r="C9" s="24" t="str">
        <f t="shared" si="0"/>
        <v>0</v>
      </c>
      <c r="E9" s="3">
        <v>200000.01</v>
      </c>
      <c r="F9" s="4">
        <v>300000</v>
      </c>
      <c r="G9" s="4">
        <v>20000</v>
      </c>
      <c r="H9" s="5">
        <v>0.2</v>
      </c>
      <c r="I9" s="6">
        <v>200000</v>
      </c>
    </row>
    <row r="10" spans="2:9" x14ac:dyDescent="0.25">
      <c r="B10" s="2"/>
      <c r="C10" s="24" t="str">
        <f t="shared" si="0"/>
        <v>0</v>
      </c>
      <c r="E10" s="3">
        <v>300000.01</v>
      </c>
      <c r="F10" s="4">
        <v>500000</v>
      </c>
      <c r="G10" s="4">
        <v>40000</v>
      </c>
      <c r="H10" s="5">
        <v>0.25</v>
      </c>
      <c r="I10" s="6">
        <v>300000</v>
      </c>
    </row>
    <row r="11" spans="2:9" ht="15.75" thickBot="1" x14ac:dyDescent="0.3">
      <c r="B11" s="2"/>
      <c r="C11" s="24" t="str">
        <f t="shared" si="0"/>
        <v>0</v>
      </c>
      <c r="E11" s="7">
        <v>500000.01</v>
      </c>
      <c r="F11" s="9" t="s">
        <v>5</v>
      </c>
      <c r="G11" s="9">
        <v>90000</v>
      </c>
      <c r="H11" s="10">
        <v>0.3</v>
      </c>
      <c r="I11" s="11">
        <v>500000</v>
      </c>
    </row>
    <row r="12" spans="2:9" ht="15.75" thickTop="1" x14ac:dyDescent="0.25">
      <c r="B12" s="2"/>
      <c r="C12" s="24" t="str">
        <f t="shared" si="0"/>
        <v>0</v>
      </c>
    </row>
    <row r="13" spans="2:9" x14ac:dyDescent="0.25">
      <c r="B13" s="2"/>
      <c r="C13" s="24" t="str">
        <f t="shared" si="0"/>
        <v>0</v>
      </c>
    </row>
    <row r="14" spans="2:9" x14ac:dyDescent="0.25">
      <c r="B14" s="2"/>
      <c r="C14" s="24" t="str">
        <f t="shared" si="0"/>
        <v>0</v>
      </c>
    </row>
    <row r="15" spans="2:9" x14ac:dyDescent="0.25">
      <c r="B15" s="2"/>
      <c r="C15" s="24" t="str">
        <f t="shared" si="0"/>
        <v>0</v>
      </c>
    </row>
    <row r="16" spans="2:9" x14ac:dyDescent="0.25">
      <c r="B16" s="2"/>
      <c r="C16" s="24" t="str">
        <f t="shared" si="0"/>
        <v>0</v>
      </c>
    </row>
    <row r="17" spans="2:3" x14ac:dyDescent="0.25">
      <c r="B17" s="2"/>
      <c r="C17" s="24" t="str">
        <f t="shared" si="0"/>
        <v>0</v>
      </c>
    </row>
    <row r="18" spans="2:3" x14ac:dyDescent="0.25">
      <c r="B18" s="2"/>
      <c r="C18" s="24" t="str">
        <f t="shared" si="0"/>
        <v>0</v>
      </c>
    </row>
    <row r="19" spans="2:3" x14ac:dyDescent="0.25">
      <c r="B19" s="2"/>
      <c r="C19" s="24" t="str">
        <f t="shared" si="0"/>
        <v>0</v>
      </c>
    </row>
    <row r="20" spans="2:3" x14ac:dyDescent="0.25">
      <c r="B20" s="2"/>
      <c r="C20" s="24" t="str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B3:M20"/>
  <sheetViews>
    <sheetView topLeftCell="A2" workbookViewId="0">
      <selection activeCell="A2" sqref="A2"/>
    </sheetView>
  </sheetViews>
  <sheetFormatPr baseColWidth="10" defaultRowHeight="15" x14ac:dyDescent="0.25"/>
  <cols>
    <col min="1" max="1" width="4.28515625" customWidth="1"/>
    <col min="2" max="4" width="11.42578125" style="43"/>
    <col min="5" max="5" width="11.85546875" style="43" bestFit="1" customWidth="1"/>
    <col min="6" max="6" width="6.28515625" customWidth="1"/>
  </cols>
  <sheetData>
    <row r="3" spans="2:13" ht="15.75" thickBot="1" x14ac:dyDescent="0.3"/>
    <row r="4" spans="2:13" ht="16.5" thickTop="1" thickBot="1" x14ac:dyDescent="0.3">
      <c r="B4" s="60" t="s">
        <v>43</v>
      </c>
      <c r="C4" s="61"/>
      <c r="D4" s="61"/>
      <c r="E4" s="62"/>
      <c r="G4" s="57" t="s">
        <v>42</v>
      </c>
      <c r="H4" s="58"/>
      <c r="I4" s="58"/>
      <c r="J4" s="58"/>
      <c r="K4" s="59"/>
    </row>
    <row r="5" spans="2:13" ht="15.75" thickTop="1" x14ac:dyDescent="0.25">
      <c r="B5" s="45" t="s">
        <v>40</v>
      </c>
      <c r="C5" s="51" t="s">
        <v>10</v>
      </c>
      <c r="D5" s="51" t="s">
        <v>41</v>
      </c>
      <c r="E5" s="46" t="s">
        <v>6</v>
      </c>
      <c r="G5" s="47" t="s">
        <v>2</v>
      </c>
      <c r="H5" s="48" t="s">
        <v>3</v>
      </c>
      <c r="I5" s="49" t="s">
        <v>4</v>
      </c>
      <c r="J5" s="49" t="s">
        <v>0</v>
      </c>
      <c r="K5" s="50" t="s">
        <v>1</v>
      </c>
    </row>
    <row r="6" spans="2:13" x14ac:dyDescent="0.25">
      <c r="B6" s="3">
        <v>10000</v>
      </c>
      <c r="C6" s="4">
        <f>+B6*0.07</f>
        <v>700.00000000000011</v>
      </c>
      <c r="D6" s="4">
        <f>+B6-C6</f>
        <v>9300</v>
      </c>
      <c r="E6" s="44">
        <f>IF(AND((D6*12)&gt;=$G$7,(D6*12)&lt;=$H$7),(((((D6*12)-$K$7)*$J$7)+$I$7)/12),IF(AND((D6*12)&gt;=$G$8,(D6*12)&lt;=$H$8),(((((D6*12)-$K$8)*$J$8)+$I$8)/12),IF(AND((D6*12)&gt;=$G$9,(D6*12)&lt;=$H$9),(((((D6*12)-$K$9)*$J$9)+$I$9)/12),IF((D6*12)&gt;=$G$10,(((((D6*12)-$K$10)*$J$10)+$I$10)/12),"0"))))</f>
        <v>145</v>
      </c>
      <c r="G6" s="3">
        <v>1</v>
      </c>
      <c r="H6" s="4">
        <v>100000</v>
      </c>
      <c r="I6" s="4">
        <v>0</v>
      </c>
      <c r="J6" s="5">
        <v>0</v>
      </c>
      <c r="K6" s="24">
        <v>0</v>
      </c>
    </row>
    <row r="7" spans="2:13" x14ac:dyDescent="0.25">
      <c r="B7" s="3">
        <v>15000</v>
      </c>
      <c r="C7" s="4">
        <f t="shared" ref="C7:C20" si="0">+B7*0.07</f>
        <v>1050</v>
      </c>
      <c r="D7" s="4">
        <f t="shared" ref="D7:D20" si="1">+B7-C7</f>
        <v>13950</v>
      </c>
      <c r="E7" s="44">
        <f>IF(AND((D7*12)&gt;=$G$7,(D7*12)&lt;=$H$7),(((((D7*12)-$K$7)*$J$7)+$I$7)/12),IF(AND((D7*12)&gt;=$G$8,(D7*12)&lt;=$H$8),(((((D7*12)-$K$8)*$J$8)+$I$8)/12),IF(AND((D7*12)&gt;=$G$9,(D7*12)&lt;=$H$9),(((((D7*12)-$K$9)*$J$9)+$I$9)/12),IF((D7*12)&gt;=$G$10,(((((D7*12)-$K$10)*$J$10)+$I$10)/12),"0"))))</f>
        <v>842.5</v>
      </c>
      <c r="G7" s="3">
        <v>100000.01</v>
      </c>
      <c r="H7" s="4">
        <v>200000</v>
      </c>
      <c r="I7" s="4">
        <v>0</v>
      </c>
      <c r="J7" s="5">
        <v>0.15</v>
      </c>
      <c r="K7" s="6">
        <v>100000</v>
      </c>
    </row>
    <row r="8" spans="2:13" x14ac:dyDescent="0.25">
      <c r="B8" s="3">
        <v>20000</v>
      </c>
      <c r="C8" s="4">
        <f t="shared" si="0"/>
        <v>1400.0000000000002</v>
      </c>
      <c r="D8" s="4">
        <f t="shared" si="1"/>
        <v>18600</v>
      </c>
      <c r="E8" s="44">
        <f t="shared" ref="E8:E20" si="2">IF(AND((D8*12)&gt;=$G$7,(D8*12)&lt;=$H$7),(((((D8*12)-$K$7)*$J$7)+$I$7)/12),IF(AND((D8*12)&gt;=$G$8,(D8*12)&lt;=$H$8),(((((D8*12)-$K$8)*$J$8)+$I$8)/12),IF(AND((D8*12)&gt;=$G$9,(D8*12)&lt;=$H$9),(((((D8*12)-$K$9)*$J$9)+$I$9)/12),IF((D8*12)&gt;=$G$10,(((((D8*12)-$K$10)*$J$10)+$I$10)/12),"0"))))</f>
        <v>1636.6666666666667</v>
      </c>
      <c r="G8" s="3">
        <v>200000.01</v>
      </c>
      <c r="H8" s="4">
        <v>350000</v>
      </c>
      <c r="I8" s="4">
        <v>15000</v>
      </c>
      <c r="J8" s="5">
        <v>0.2</v>
      </c>
      <c r="K8" s="6">
        <v>200000</v>
      </c>
      <c r="M8" s="52"/>
    </row>
    <row r="9" spans="2:13" x14ac:dyDescent="0.25">
      <c r="B9" s="3">
        <v>25000</v>
      </c>
      <c r="C9" s="4">
        <f t="shared" si="0"/>
        <v>1750.0000000000002</v>
      </c>
      <c r="D9" s="4">
        <f t="shared" si="1"/>
        <v>23250</v>
      </c>
      <c r="E9" s="44">
        <f t="shared" si="2"/>
        <v>2566.6666666666665</v>
      </c>
      <c r="G9" s="3">
        <v>350000.01</v>
      </c>
      <c r="H9" s="4">
        <v>500000</v>
      </c>
      <c r="I9" s="4">
        <v>45000</v>
      </c>
      <c r="J9" s="5">
        <v>0.25</v>
      </c>
      <c r="K9" s="6">
        <v>350000</v>
      </c>
    </row>
    <row r="10" spans="2:13" ht="15.75" thickBot="1" x14ac:dyDescent="0.3">
      <c r="B10" s="3">
        <v>30000</v>
      </c>
      <c r="C10" s="4">
        <f t="shared" si="0"/>
        <v>2100</v>
      </c>
      <c r="D10" s="4">
        <f t="shared" si="1"/>
        <v>27900</v>
      </c>
      <c r="E10" s="44">
        <f t="shared" si="2"/>
        <v>3496.6666666666665</v>
      </c>
      <c r="G10" s="35">
        <v>500000.01</v>
      </c>
      <c r="H10" s="36" t="s">
        <v>5</v>
      </c>
      <c r="I10" s="36">
        <v>82500</v>
      </c>
      <c r="J10" s="37">
        <v>0.3</v>
      </c>
      <c r="K10" s="38">
        <v>500000</v>
      </c>
    </row>
    <row r="11" spans="2:13" ht="15.75" thickTop="1" x14ac:dyDescent="0.25">
      <c r="B11" s="3">
        <v>35000</v>
      </c>
      <c r="C11" s="4">
        <f t="shared" si="0"/>
        <v>2450.0000000000005</v>
      </c>
      <c r="D11" s="4">
        <f t="shared" si="1"/>
        <v>32550</v>
      </c>
      <c r="E11" s="44">
        <f t="shared" si="2"/>
        <v>4595.833333333333</v>
      </c>
      <c r="G11" s="39"/>
      <c r="H11" s="39"/>
      <c r="I11" s="39"/>
      <c r="J11" s="40"/>
      <c r="K11" s="39"/>
    </row>
    <row r="12" spans="2:13" x14ac:dyDescent="0.25">
      <c r="B12" s="3">
        <v>40000</v>
      </c>
      <c r="C12" s="4">
        <f t="shared" si="0"/>
        <v>2800.0000000000005</v>
      </c>
      <c r="D12" s="4">
        <f t="shared" si="1"/>
        <v>37200</v>
      </c>
      <c r="E12" s="44">
        <f t="shared" si="2"/>
        <v>5758.333333333333</v>
      </c>
    </row>
    <row r="13" spans="2:13" x14ac:dyDescent="0.25">
      <c r="B13" s="3">
        <v>45000</v>
      </c>
      <c r="C13" s="4">
        <f t="shared" si="0"/>
        <v>3150.0000000000005</v>
      </c>
      <c r="D13" s="4">
        <f t="shared" si="1"/>
        <v>41850</v>
      </c>
      <c r="E13" s="44">
        <f t="shared" si="2"/>
        <v>6930</v>
      </c>
    </row>
    <row r="14" spans="2:13" x14ac:dyDescent="0.25">
      <c r="B14" s="3">
        <v>50000</v>
      </c>
      <c r="C14" s="4">
        <f t="shared" si="0"/>
        <v>3500.0000000000005</v>
      </c>
      <c r="D14" s="4">
        <f t="shared" si="1"/>
        <v>46500</v>
      </c>
      <c r="E14" s="44">
        <f t="shared" si="2"/>
        <v>8325</v>
      </c>
    </row>
    <row r="15" spans="2:13" x14ac:dyDescent="0.25">
      <c r="B15" s="3">
        <v>55000</v>
      </c>
      <c r="C15" s="4">
        <f t="shared" si="0"/>
        <v>3850.0000000000005</v>
      </c>
      <c r="D15" s="4">
        <f t="shared" si="1"/>
        <v>51150</v>
      </c>
      <c r="E15" s="44">
        <f t="shared" si="2"/>
        <v>9720</v>
      </c>
    </row>
    <row r="16" spans="2:13" x14ac:dyDescent="0.25">
      <c r="B16" s="3">
        <v>60000</v>
      </c>
      <c r="C16" s="4">
        <f t="shared" si="0"/>
        <v>4200</v>
      </c>
      <c r="D16" s="4">
        <f t="shared" si="1"/>
        <v>55800</v>
      </c>
      <c r="E16" s="44">
        <f t="shared" si="2"/>
        <v>11115</v>
      </c>
    </row>
    <row r="17" spans="2:5" x14ac:dyDescent="0.25">
      <c r="B17" s="3">
        <v>65000</v>
      </c>
      <c r="C17" s="4">
        <f t="shared" si="0"/>
        <v>4550</v>
      </c>
      <c r="D17" s="4">
        <f t="shared" si="1"/>
        <v>60450</v>
      </c>
      <c r="E17" s="44">
        <f t="shared" si="2"/>
        <v>12510</v>
      </c>
    </row>
    <row r="18" spans="2:5" x14ac:dyDescent="0.25">
      <c r="B18" s="3">
        <v>70000</v>
      </c>
      <c r="C18" s="4">
        <f t="shared" si="0"/>
        <v>4900.0000000000009</v>
      </c>
      <c r="D18" s="4">
        <f t="shared" si="1"/>
        <v>65100</v>
      </c>
      <c r="E18" s="44">
        <f t="shared" si="2"/>
        <v>13905</v>
      </c>
    </row>
    <row r="19" spans="2:5" x14ac:dyDescent="0.25">
      <c r="B19" s="3">
        <v>75000</v>
      </c>
      <c r="C19" s="4">
        <f t="shared" si="0"/>
        <v>5250.0000000000009</v>
      </c>
      <c r="D19" s="4">
        <f t="shared" si="1"/>
        <v>69750</v>
      </c>
      <c r="E19" s="44">
        <f t="shared" si="2"/>
        <v>15300</v>
      </c>
    </row>
    <row r="20" spans="2:5" x14ac:dyDescent="0.25">
      <c r="B20" s="3">
        <v>80000</v>
      </c>
      <c r="C20" s="4">
        <f t="shared" si="0"/>
        <v>5600.0000000000009</v>
      </c>
      <c r="D20" s="4">
        <f t="shared" si="1"/>
        <v>74400</v>
      </c>
      <c r="E20" s="44">
        <f t="shared" si="2"/>
        <v>16695</v>
      </c>
    </row>
  </sheetData>
  <mergeCells count="2">
    <mergeCell ref="G4:K4"/>
    <mergeCell ref="B4:E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3:M28"/>
  <sheetViews>
    <sheetView workbookViewId="0">
      <selection activeCell="D10" sqref="D10"/>
    </sheetView>
  </sheetViews>
  <sheetFormatPr baseColWidth="10" defaultRowHeight="15" x14ac:dyDescent="0.25"/>
  <cols>
    <col min="1" max="1" width="6.85546875" customWidth="1"/>
    <col min="2" max="2" width="11.28515625" customWidth="1"/>
    <col min="3" max="3" width="11.5703125" customWidth="1"/>
    <col min="4" max="4" width="10.5703125" customWidth="1"/>
    <col min="5" max="5" width="11.28515625" customWidth="1"/>
    <col min="6" max="6" width="12.42578125" customWidth="1"/>
    <col min="7" max="7" width="8.85546875" customWidth="1"/>
    <col min="8" max="8" width="10.5703125" customWidth="1"/>
    <col min="9" max="9" width="11.5703125" customWidth="1"/>
    <col min="10" max="10" width="10" bestFit="1" customWidth="1"/>
    <col min="11" max="11" width="11.28515625" bestFit="1" customWidth="1"/>
    <col min="12" max="12" width="10.140625" bestFit="1" customWidth="1"/>
    <col min="13" max="13" width="8.7109375" bestFit="1" customWidth="1"/>
  </cols>
  <sheetData>
    <row r="3" spans="1:13" x14ac:dyDescent="0.25">
      <c r="C3" s="72" t="s">
        <v>27</v>
      </c>
      <c r="D3" s="72"/>
      <c r="E3" s="72"/>
      <c r="F3" s="72"/>
      <c r="G3" s="72"/>
      <c r="H3" s="72"/>
      <c r="I3" s="72"/>
      <c r="J3" s="72"/>
      <c r="K3" s="72"/>
    </row>
    <row r="4" spans="1:13" ht="15.75" thickBot="1" x14ac:dyDescent="0.3"/>
    <row r="5" spans="1:13" ht="15.75" thickTop="1" x14ac:dyDescent="0.25">
      <c r="A5" s="15" t="s">
        <v>8</v>
      </c>
      <c r="B5" s="16" t="s">
        <v>9</v>
      </c>
      <c r="C5" s="16" t="s">
        <v>10</v>
      </c>
      <c r="D5" s="16" t="s">
        <v>18</v>
      </c>
      <c r="E5" s="16" t="s">
        <v>11</v>
      </c>
      <c r="F5" s="16" t="s">
        <v>8</v>
      </c>
      <c r="G5" s="16" t="s">
        <v>12</v>
      </c>
      <c r="H5" s="16" t="s">
        <v>13</v>
      </c>
      <c r="I5" s="16" t="s">
        <v>6</v>
      </c>
      <c r="J5" s="16" t="s">
        <v>14</v>
      </c>
      <c r="K5" s="16" t="s">
        <v>15</v>
      </c>
      <c r="L5" s="16" t="s">
        <v>16</v>
      </c>
      <c r="M5" s="17" t="s">
        <v>17</v>
      </c>
    </row>
    <row r="6" spans="1:13" x14ac:dyDescent="0.25">
      <c r="A6" s="18" t="s">
        <v>28</v>
      </c>
      <c r="B6" s="27">
        <v>9000</v>
      </c>
      <c r="C6" s="27">
        <f>B6*7%</f>
        <v>630.00000000000011</v>
      </c>
      <c r="D6" s="27">
        <f t="shared" ref="D6:D17" si="0">B6-C6</f>
        <v>8370</v>
      </c>
      <c r="E6" s="27">
        <f>D6</f>
        <v>8370</v>
      </c>
      <c r="F6" s="19">
        <v>1</v>
      </c>
      <c r="G6" s="27">
        <f t="shared" ref="G6:G17" si="1">E6/F6</f>
        <v>8370</v>
      </c>
      <c r="H6" s="27">
        <f>G6*12</f>
        <v>100440</v>
      </c>
      <c r="I6" s="27">
        <f t="shared" ref="I6:I11" si="2">IF(AND(H6&gt;$B$24,H6&lt;$C$24),(((H6-$F$24)*$E$24)+$D$24),IF(AND(H6&gt;$B$25,H6&lt;$C$25),(((H6-$F$25)*$E$25)+$D$25),IF(AND(H6&gt;$B$26,H6&lt;$C$26),(((H6-$F$26)*$E$26)+$D$26),IF(AND(H6&gt;$B$27,H6&lt;$C$27),(((H6-$F$27)*$E$27)+$D$27),"0"))))</f>
        <v>66</v>
      </c>
      <c r="J6" s="27">
        <v>0</v>
      </c>
      <c r="K6" s="27">
        <f>I6-J6</f>
        <v>66</v>
      </c>
      <c r="L6" s="19">
        <v>12</v>
      </c>
      <c r="M6" s="25">
        <f>K6/L6</f>
        <v>5.5</v>
      </c>
    </row>
    <row r="7" spans="1:13" x14ac:dyDescent="0.25">
      <c r="A7" s="18" t="s">
        <v>29</v>
      </c>
      <c r="B7" s="27">
        <v>16000</v>
      </c>
      <c r="C7" s="27">
        <f t="shared" ref="C7:C17" si="3">B7*7%</f>
        <v>1120</v>
      </c>
      <c r="D7" s="27">
        <f t="shared" si="0"/>
        <v>14880</v>
      </c>
      <c r="E7" s="27">
        <f t="shared" ref="E7:E17" si="4">E6+D7</f>
        <v>23250</v>
      </c>
      <c r="F7" s="19">
        <v>2</v>
      </c>
      <c r="G7" s="27">
        <f t="shared" si="1"/>
        <v>11625</v>
      </c>
      <c r="H7" s="27">
        <f t="shared" ref="H7:H17" si="5">G7*12</f>
        <v>139500</v>
      </c>
      <c r="I7" s="27">
        <f t="shared" si="2"/>
        <v>5925</v>
      </c>
      <c r="J7" s="27">
        <f>J6+M6</f>
        <v>5.5</v>
      </c>
      <c r="K7" s="27">
        <f>I7-J7</f>
        <v>5919.5</v>
      </c>
      <c r="L7" s="19">
        <v>11</v>
      </c>
      <c r="M7" s="25">
        <f t="shared" ref="M7:M17" si="6">K7/L7</f>
        <v>538.13636363636363</v>
      </c>
    </row>
    <row r="8" spans="1:13" x14ac:dyDescent="0.25">
      <c r="A8" s="18" t="s">
        <v>30</v>
      </c>
      <c r="B8" s="27">
        <v>16500</v>
      </c>
      <c r="C8" s="27">
        <f t="shared" si="3"/>
        <v>1155</v>
      </c>
      <c r="D8" s="27">
        <f t="shared" si="0"/>
        <v>15345</v>
      </c>
      <c r="E8" s="27">
        <f t="shared" si="4"/>
        <v>38595</v>
      </c>
      <c r="F8" s="19">
        <v>3</v>
      </c>
      <c r="G8" s="27">
        <f t="shared" si="1"/>
        <v>12865</v>
      </c>
      <c r="H8" s="27">
        <f t="shared" si="5"/>
        <v>154380</v>
      </c>
      <c r="I8" s="27">
        <f t="shared" si="2"/>
        <v>8157</v>
      </c>
      <c r="J8" s="27">
        <f t="shared" ref="J8:J17" si="7">J7+M7</f>
        <v>543.63636363636363</v>
      </c>
      <c r="K8" s="27">
        <f t="shared" ref="K8:K17" si="8">I8-J8</f>
        <v>7613.363636363636</v>
      </c>
      <c r="L8" s="19">
        <v>10</v>
      </c>
      <c r="M8" s="25">
        <f t="shared" si="6"/>
        <v>761.33636363636356</v>
      </c>
    </row>
    <row r="9" spans="1:13" x14ac:dyDescent="0.25">
      <c r="A9" s="18" t="s">
        <v>31</v>
      </c>
      <c r="B9" s="27">
        <v>17000</v>
      </c>
      <c r="C9" s="27">
        <f t="shared" si="3"/>
        <v>1190</v>
      </c>
      <c r="D9" s="27">
        <f t="shared" si="0"/>
        <v>15810</v>
      </c>
      <c r="E9" s="27">
        <f t="shared" si="4"/>
        <v>54405</v>
      </c>
      <c r="F9" s="19">
        <v>4</v>
      </c>
      <c r="G9" s="27">
        <f t="shared" si="1"/>
        <v>13601.25</v>
      </c>
      <c r="H9" s="27">
        <f t="shared" si="5"/>
        <v>163215</v>
      </c>
      <c r="I9" s="27">
        <f t="shared" si="2"/>
        <v>9482.25</v>
      </c>
      <c r="J9" s="27">
        <f t="shared" si="7"/>
        <v>1304.9727272727273</v>
      </c>
      <c r="K9" s="27">
        <f t="shared" si="8"/>
        <v>8177.2772727272732</v>
      </c>
      <c r="L9" s="19">
        <v>9</v>
      </c>
      <c r="M9" s="25">
        <f t="shared" si="6"/>
        <v>908.58636363636367</v>
      </c>
    </row>
    <row r="10" spans="1:13" x14ac:dyDescent="0.25">
      <c r="A10" s="18" t="s">
        <v>32</v>
      </c>
      <c r="B10" s="27">
        <v>17500</v>
      </c>
      <c r="C10" s="27">
        <f t="shared" si="3"/>
        <v>1225.0000000000002</v>
      </c>
      <c r="D10" s="27">
        <f t="shared" si="0"/>
        <v>16275</v>
      </c>
      <c r="E10" s="27">
        <f t="shared" si="4"/>
        <v>70680</v>
      </c>
      <c r="F10" s="19">
        <v>5</v>
      </c>
      <c r="G10" s="27">
        <f t="shared" si="1"/>
        <v>14136</v>
      </c>
      <c r="H10" s="27">
        <f t="shared" si="5"/>
        <v>169632</v>
      </c>
      <c r="I10" s="27">
        <f t="shared" si="2"/>
        <v>10444.799999999999</v>
      </c>
      <c r="J10" s="27">
        <f t="shared" si="7"/>
        <v>2213.5590909090911</v>
      </c>
      <c r="K10" s="27">
        <f t="shared" si="8"/>
        <v>8231.2409090909077</v>
      </c>
      <c r="L10" s="19">
        <v>8</v>
      </c>
      <c r="M10" s="25">
        <f t="shared" si="6"/>
        <v>1028.9051136363635</v>
      </c>
    </row>
    <row r="11" spans="1:13" x14ac:dyDescent="0.25">
      <c r="A11" s="18" t="s">
        <v>33</v>
      </c>
      <c r="B11" s="27">
        <v>18000</v>
      </c>
      <c r="C11" s="27">
        <f t="shared" si="3"/>
        <v>1260.0000000000002</v>
      </c>
      <c r="D11" s="27">
        <f t="shared" si="0"/>
        <v>16740</v>
      </c>
      <c r="E11" s="27">
        <f t="shared" si="4"/>
        <v>87420</v>
      </c>
      <c r="F11" s="19">
        <v>6</v>
      </c>
      <c r="G11" s="27">
        <f t="shared" si="1"/>
        <v>14570</v>
      </c>
      <c r="H11" s="27">
        <f t="shared" si="5"/>
        <v>174840</v>
      </c>
      <c r="I11" s="27">
        <f t="shared" si="2"/>
        <v>11226</v>
      </c>
      <c r="J11" s="27">
        <f t="shared" si="7"/>
        <v>3242.4642045454548</v>
      </c>
      <c r="K11" s="27">
        <f t="shared" si="8"/>
        <v>7983.5357954545452</v>
      </c>
      <c r="L11" s="19">
        <v>7</v>
      </c>
      <c r="M11" s="25">
        <f t="shared" si="6"/>
        <v>1140.5051136363636</v>
      </c>
    </row>
    <row r="12" spans="1:13" x14ac:dyDescent="0.25">
      <c r="A12" s="18" t="s">
        <v>34</v>
      </c>
      <c r="B12" s="27">
        <v>18500</v>
      </c>
      <c r="C12" s="27">
        <f t="shared" si="3"/>
        <v>1295.0000000000002</v>
      </c>
      <c r="D12" s="27">
        <f t="shared" si="0"/>
        <v>17205</v>
      </c>
      <c r="E12" s="27">
        <f t="shared" si="4"/>
        <v>104625</v>
      </c>
      <c r="F12" s="19">
        <v>7</v>
      </c>
      <c r="G12" s="27">
        <f t="shared" si="1"/>
        <v>14946.428571428571</v>
      </c>
      <c r="H12" s="27">
        <f t="shared" si="5"/>
        <v>179357.14285714284</v>
      </c>
      <c r="I12" s="27">
        <f t="shared" ref="I12:I17" si="9">IF(AND(H12&gt;$B$24,H12&lt;$C$24),(((H12-$F$24)*$E$24)+$D$24),IF(AND(H12&gt;$B$25,H12&lt;$C$25),(((H12-$F$25)*$E$25)+$D$25),IF(AND(H12&gt;$B$26,H12&lt;$C$26),(((H12-$F$26)*$E$26)+$D$26),IF(AND(H12&gt;$B$27,H12&lt;$C$27),(((H12-$F$27)*$E$27)+$D$27),"0"))))</f>
        <v>11903.571428571426</v>
      </c>
      <c r="J12" s="27">
        <f t="shared" si="7"/>
        <v>4382.9693181818184</v>
      </c>
      <c r="K12" s="27">
        <f t="shared" si="8"/>
        <v>7520.6021103896073</v>
      </c>
      <c r="L12" s="19">
        <v>6</v>
      </c>
      <c r="M12" s="25">
        <f t="shared" si="6"/>
        <v>1253.4336850649345</v>
      </c>
    </row>
    <row r="13" spans="1:13" x14ac:dyDescent="0.25">
      <c r="A13" s="18" t="s">
        <v>35</v>
      </c>
      <c r="B13" s="27">
        <v>19000</v>
      </c>
      <c r="C13" s="27">
        <f t="shared" si="3"/>
        <v>1330.0000000000002</v>
      </c>
      <c r="D13" s="27">
        <f t="shared" si="0"/>
        <v>17670</v>
      </c>
      <c r="E13" s="27">
        <f t="shared" si="4"/>
        <v>122295</v>
      </c>
      <c r="F13" s="19">
        <v>8</v>
      </c>
      <c r="G13" s="27">
        <f t="shared" si="1"/>
        <v>15286.875</v>
      </c>
      <c r="H13" s="27">
        <f t="shared" si="5"/>
        <v>183442.5</v>
      </c>
      <c r="I13" s="27">
        <f t="shared" si="9"/>
        <v>12516.375</v>
      </c>
      <c r="J13" s="27">
        <f t="shared" si="7"/>
        <v>5636.4030032467526</v>
      </c>
      <c r="K13" s="27">
        <f t="shared" si="8"/>
        <v>6879.9719967532474</v>
      </c>
      <c r="L13" s="19">
        <v>5</v>
      </c>
      <c r="M13" s="25">
        <f t="shared" si="6"/>
        <v>1375.9943993506495</v>
      </c>
    </row>
    <row r="14" spans="1:13" x14ac:dyDescent="0.25">
      <c r="A14" s="18" t="s">
        <v>36</v>
      </c>
      <c r="B14" s="27">
        <v>19500</v>
      </c>
      <c r="C14" s="27">
        <f t="shared" si="3"/>
        <v>1365.0000000000002</v>
      </c>
      <c r="D14" s="27">
        <f t="shared" si="0"/>
        <v>18135</v>
      </c>
      <c r="E14" s="27">
        <f t="shared" si="4"/>
        <v>140430</v>
      </c>
      <c r="F14" s="19">
        <v>9</v>
      </c>
      <c r="G14" s="27">
        <f t="shared" si="1"/>
        <v>15603.333333333334</v>
      </c>
      <c r="H14" s="27">
        <f t="shared" si="5"/>
        <v>187240</v>
      </c>
      <c r="I14" s="27">
        <f t="shared" si="9"/>
        <v>13086</v>
      </c>
      <c r="J14" s="27">
        <f t="shared" si="7"/>
        <v>7012.3974025974021</v>
      </c>
      <c r="K14" s="27">
        <f t="shared" si="8"/>
        <v>6073.6025974025979</v>
      </c>
      <c r="L14" s="19">
        <v>4</v>
      </c>
      <c r="M14" s="25">
        <f t="shared" si="6"/>
        <v>1518.4006493506495</v>
      </c>
    </row>
    <row r="15" spans="1:13" x14ac:dyDescent="0.25">
      <c r="A15" s="18" t="s">
        <v>37</v>
      </c>
      <c r="B15" s="27">
        <v>20000</v>
      </c>
      <c r="C15" s="27">
        <f t="shared" si="3"/>
        <v>1400.0000000000002</v>
      </c>
      <c r="D15" s="27">
        <f t="shared" si="0"/>
        <v>18600</v>
      </c>
      <c r="E15" s="27">
        <f t="shared" si="4"/>
        <v>159030</v>
      </c>
      <c r="F15" s="19">
        <v>10</v>
      </c>
      <c r="G15" s="27">
        <f t="shared" si="1"/>
        <v>15903</v>
      </c>
      <c r="H15" s="27">
        <f t="shared" si="5"/>
        <v>190836</v>
      </c>
      <c r="I15" s="27">
        <f t="shared" si="9"/>
        <v>13625.4</v>
      </c>
      <c r="J15" s="27">
        <f t="shared" si="7"/>
        <v>8530.7980519480516</v>
      </c>
      <c r="K15" s="27">
        <f t="shared" si="8"/>
        <v>5094.6019480519481</v>
      </c>
      <c r="L15" s="19">
        <v>3</v>
      </c>
      <c r="M15" s="25">
        <f t="shared" si="6"/>
        <v>1698.2006493506494</v>
      </c>
    </row>
    <row r="16" spans="1:13" x14ac:dyDescent="0.25">
      <c r="A16" s="18" t="s">
        <v>38</v>
      </c>
      <c r="B16" s="27">
        <v>20500</v>
      </c>
      <c r="C16" s="27">
        <f t="shared" si="3"/>
        <v>1435.0000000000002</v>
      </c>
      <c r="D16" s="27">
        <f t="shared" si="0"/>
        <v>19065</v>
      </c>
      <c r="E16" s="27">
        <f t="shared" si="4"/>
        <v>178095</v>
      </c>
      <c r="F16" s="19">
        <v>11</v>
      </c>
      <c r="G16" s="27">
        <f t="shared" si="1"/>
        <v>16190.454545454546</v>
      </c>
      <c r="H16" s="27">
        <f t="shared" si="5"/>
        <v>194285.45454545456</v>
      </c>
      <c r="I16" s="27">
        <f t="shared" si="9"/>
        <v>14142.818181818184</v>
      </c>
      <c r="J16" s="27">
        <f t="shared" si="7"/>
        <v>10228.9987012987</v>
      </c>
      <c r="K16" s="27">
        <f t="shared" si="8"/>
        <v>3913.8194805194835</v>
      </c>
      <c r="L16" s="19">
        <v>2</v>
      </c>
      <c r="M16" s="25">
        <f t="shared" si="6"/>
        <v>1956.9097402597417</v>
      </c>
    </row>
    <row r="17" spans="1:13" ht="15.75" thickBot="1" x14ac:dyDescent="0.3">
      <c r="A17" s="18" t="s">
        <v>39</v>
      </c>
      <c r="B17" s="28">
        <v>21000</v>
      </c>
      <c r="C17" s="27">
        <f t="shared" si="3"/>
        <v>1470.0000000000002</v>
      </c>
      <c r="D17" s="28">
        <f t="shared" si="0"/>
        <v>19530</v>
      </c>
      <c r="E17" s="28">
        <f t="shared" si="4"/>
        <v>197625</v>
      </c>
      <c r="F17" s="20">
        <v>12</v>
      </c>
      <c r="G17" s="28">
        <f t="shared" si="1"/>
        <v>16468.75</v>
      </c>
      <c r="H17" s="28">
        <f t="shared" si="5"/>
        <v>197625</v>
      </c>
      <c r="I17" s="41">
        <f t="shared" si="9"/>
        <v>14643.75</v>
      </c>
      <c r="J17" s="28">
        <f t="shared" si="7"/>
        <v>12185.908441558442</v>
      </c>
      <c r="K17" s="28">
        <f t="shared" si="8"/>
        <v>2457.8415584415579</v>
      </c>
      <c r="L17" s="20">
        <v>1</v>
      </c>
      <c r="M17" s="26">
        <f t="shared" si="6"/>
        <v>2457.8415584415579</v>
      </c>
    </row>
    <row r="18" spans="1:13" ht="16.5" thickTop="1" thickBot="1" x14ac:dyDescent="0.3">
      <c r="A18" s="21" t="s">
        <v>26</v>
      </c>
      <c r="B18" s="22">
        <f>SUM(B6:B17)</f>
        <v>212500</v>
      </c>
      <c r="C18" s="22">
        <f>SUM(C6:C17)</f>
        <v>14875</v>
      </c>
      <c r="D18" s="22">
        <f>SUM(D6:D17)</f>
        <v>197625</v>
      </c>
      <c r="E18" s="23"/>
      <c r="F18" s="23"/>
      <c r="G18" s="23"/>
      <c r="H18" s="23"/>
      <c r="I18" s="22"/>
      <c r="J18" s="23"/>
      <c r="K18" s="23"/>
      <c r="L18" s="23"/>
      <c r="M18" s="42">
        <f>SUM(M6:M17)</f>
        <v>14643.75</v>
      </c>
    </row>
    <row r="19" spans="1:13" ht="16.5" thickTop="1" thickBot="1" x14ac:dyDescent="0.3"/>
    <row r="20" spans="1:13" ht="15.75" thickTop="1" x14ac:dyDescent="0.25">
      <c r="B20" s="63" t="s">
        <v>20</v>
      </c>
      <c r="C20" s="64"/>
      <c r="D20" s="67" t="s">
        <v>19</v>
      </c>
      <c r="E20" s="64" t="s">
        <v>23</v>
      </c>
      <c r="F20" s="70" t="s">
        <v>24</v>
      </c>
    </row>
    <row r="21" spans="1:13" x14ac:dyDescent="0.25">
      <c r="B21" s="65"/>
      <c r="C21" s="66"/>
      <c r="D21" s="68"/>
      <c r="E21" s="66"/>
      <c r="F21" s="71"/>
    </row>
    <row r="22" spans="1:13" x14ac:dyDescent="0.25">
      <c r="B22" s="12" t="s">
        <v>21</v>
      </c>
      <c r="C22" s="13" t="s">
        <v>22</v>
      </c>
      <c r="D22" s="69"/>
      <c r="E22" s="66"/>
      <c r="F22" s="71"/>
      <c r="H22" s="14"/>
    </row>
    <row r="23" spans="1:13" x14ac:dyDescent="0.25">
      <c r="B23" s="3">
        <v>1</v>
      </c>
      <c r="C23" s="4">
        <v>100000</v>
      </c>
      <c r="D23" s="4">
        <v>0</v>
      </c>
      <c r="E23" s="5">
        <v>0</v>
      </c>
      <c r="F23" s="6">
        <v>0</v>
      </c>
    </row>
    <row r="24" spans="1:13" x14ac:dyDescent="0.25">
      <c r="B24" s="3">
        <v>100000.01</v>
      </c>
      <c r="C24" s="4">
        <v>200000</v>
      </c>
      <c r="D24" s="4">
        <v>0</v>
      </c>
      <c r="E24" s="5">
        <v>0.15</v>
      </c>
      <c r="F24" s="6">
        <v>100000</v>
      </c>
    </row>
    <row r="25" spans="1:13" x14ac:dyDescent="0.25">
      <c r="B25" s="3">
        <v>200000.01</v>
      </c>
      <c r="C25" s="4">
        <v>350000</v>
      </c>
      <c r="D25" s="4">
        <v>15000</v>
      </c>
      <c r="E25" s="5">
        <v>0.2</v>
      </c>
      <c r="F25" s="6">
        <v>200000</v>
      </c>
    </row>
    <row r="26" spans="1:13" x14ac:dyDescent="0.25">
      <c r="B26" s="3">
        <v>350000.01</v>
      </c>
      <c r="C26" s="4">
        <v>500000</v>
      </c>
      <c r="D26" s="4">
        <v>45000</v>
      </c>
      <c r="E26" s="5">
        <v>0.25</v>
      </c>
      <c r="F26" s="6">
        <v>350000</v>
      </c>
    </row>
    <row r="27" spans="1:13" ht="15.75" thickBot="1" x14ac:dyDescent="0.3">
      <c r="B27" s="7">
        <v>500000.01</v>
      </c>
      <c r="C27" s="9" t="s">
        <v>5</v>
      </c>
      <c r="D27" s="9">
        <v>82500</v>
      </c>
      <c r="E27" s="10">
        <v>0.3</v>
      </c>
      <c r="F27" s="11">
        <v>500000</v>
      </c>
    </row>
    <row r="28" spans="1:13" ht="15.75" thickTop="1" x14ac:dyDescent="0.25"/>
  </sheetData>
  <sortState ref="L2:L13">
    <sortCondition descending="1" ref="L2"/>
  </sortState>
  <mergeCells count="5">
    <mergeCell ref="B20:C21"/>
    <mergeCell ref="D20:D22"/>
    <mergeCell ref="E20:E22"/>
    <mergeCell ref="F20:F22"/>
    <mergeCell ref="C3:K3"/>
  </mergeCells>
  <pageMargins left="0.43307086614173229" right="0.23622047244094491" top="0.74803149606299213" bottom="0.74803149606299213" header="0.31496062992125984" footer="0.31496062992125984"/>
  <pageSetup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7030A0"/>
  </sheetPr>
  <dimension ref="B1:F13"/>
  <sheetViews>
    <sheetView workbookViewId="0">
      <selection activeCell="G5" sqref="G5"/>
    </sheetView>
  </sheetViews>
  <sheetFormatPr baseColWidth="10" defaultRowHeight="15" x14ac:dyDescent="0.25"/>
  <sheetData>
    <row r="1" spans="2:6" x14ac:dyDescent="0.25">
      <c r="B1" s="73" t="s">
        <v>25</v>
      </c>
      <c r="C1" s="73"/>
      <c r="D1" s="73"/>
      <c r="E1" s="73"/>
      <c r="F1" s="73"/>
    </row>
    <row r="2" spans="2:6" x14ac:dyDescent="0.25">
      <c r="B2" s="73"/>
      <c r="C2" s="73"/>
      <c r="D2" s="73"/>
      <c r="E2" s="73"/>
      <c r="F2" s="73"/>
    </row>
    <row r="3" spans="2:6" ht="15.75" thickBot="1" x14ac:dyDescent="0.3">
      <c r="B3" s="1"/>
      <c r="C3" s="1"/>
      <c r="D3" s="1"/>
      <c r="E3" s="1"/>
      <c r="F3" s="1"/>
    </row>
    <row r="4" spans="2:6" ht="15" customHeight="1" thickTop="1" x14ac:dyDescent="0.25">
      <c r="B4" s="63" t="s">
        <v>20</v>
      </c>
      <c r="C4" s="64"/>
      <c r="D4" s="64" t="s">
        <v>19</v>
      </c>
      <c r="E4" s="64" t="s">
        <v>23</v>
      </c>
      <c r="F4" s="70" t="s">
        <v>24</v>
      </c>
    </row>
    <row r="5" spans="2:6" x14ac:dyDescent="0.25">
      <c r="B5" s="65"/>
      <c r="C5" s="66"/>
      <c r="D5" s="66"/>
      <c r="E5" s="66"/>
      <c r="F5" s="71"/>
    </row>
    <row r="6" spans="2:6" x14ac:dyDescent="0.25">
      <c r="B6" s="12" t="s">
        <v>21</v>
      </c>
      <c r="C6" s="13" t="s">
        <v>22</v>
      </c>
      <c r="D6" s="66"/>
      <c r="E6" s="66"/>
      <c r="F6" s="71"/>
    </row>
    <row r="7" spans="2:6" x14ac:dyDescent="0.25">
      <c r="B7" s="3">
        <v>1</v>
      </c>
      <c r="C7" s="4">
        <v>75000</v>
      </c>
      <c r="D7" s="4">
        <v>0</v>
      </c>
      <c r="E7" s="5">
        <v>0</v>
      </c>
      <c r="F7" s="6">
        <v>0</v>
      </c>
    </row>
    <row r="8" spans="2:6" x14ac:dyDescent="0.25">
      <c r="B8" s="3">
        <v>75000.009999999995</v>
      </c>
      <c r="C8" s="4">
        <v>100000</v>
      </c>
      <c r="D8" s="4">
        <v>0</v>
      </c>
      <c r="E8" s="5">
        <v>0.1</v>
      </c>
      <c r="F8" s="6">
        <v>75000</v>
      </c>
    </row>
    <row r="9" spans="2:6" x14ac:dyDescent="0.25">
      <c r="B9" s="3">
        <v>100000.01</v>
      </c>
      <c r="C9" s="4">
        <v>200000</v>
      </c>
      <c r="D9" s="4">
        <v>2500</v>
      </c>
      <c r="E9" s="5">
        <v>0.15</v>
      </c>
      <c r="F9" s="6">
        <v>100000</v>
      </c>
    </row>
    <row r="10" spans="2:6" x14ac:dyDescent="0.25">
      <c r="B10" s="3">
        <v>200000.01</v>
      </c>
      <c r="C10" s="4">
        <v>300000</v>
      </c>
      <c r="D10" s="4">
        <v>17500</v>
      </c>
      <c r="E10" s="5">
        <v>0.2</v>
      </c>
      <c r="F10" s="6">
        <v>200000</v>
      </c>
    </row>
    <row r="11" spans="2:6" x14ac:dyDescent="0.25">
      <c r="B11" s="3">
        <v>300000.01</v>
      </c>
      <c r="C11" s="4">
        <v>500000</v>
      </c>
      <c r="D11" s="4">
        <v>37500</v>
      </c>
      <c r="E11" s="5">
        <v>0.25</v>
      </c>
      <c r="F11" s="6">
        <v>300000</v>
      </c>
    </row>
    <row r="12" spans="2:6" ht="15.75" thickBot="1" x14ac:dyDescent="0.3">
      <c r="B12" s="7">
        <v>500000.01</v>
      </c>
      <c r="C12" s="8" t="s">
        <v>5</v>
      </c>
      <c r="D12" s="9">
        <v>87500</v>
      </c>
      <c r="E12" s="10">
        <v>0.3</v>
      </c>
      <c r="F12" s="11">
        <v>500000</v>
      </c>
    </row>
    <row r="13" spans="2:6" ht="15.75" thickTop="1" x14ac:dyDescent="0.25"/>
  </sheetData>
  <mergeCells count="5">
    <mergeCell ref="B4:C5"/>
    <mergeCell ref="D4:D6"/>
    <mergeCell ref="E4:E6"/>
    <mergeCell ref="F4:F6"/>
    <mergeCell ref="B1:F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29"/>
  <sheetViews>
    <sheetView tabSelected="1" zoomScale="145" zoomScaleNormal="145" workbookViewId="0">
      <selection activeCell="A8" sqref="A8:A13"/>
    </sheetView>
  </sheetViews>
  <sheetFormatPr baseColWidth="10" defaultRowHeight="15" x14ac:dyDescent="0.25"/>
  <cols>
    <col min="1" max="1" width="11.42578125" style="53"/>
    <col min="2" max="3" width="11.42578125" style="76"/>
    <col min="4" max="6" width="11.42578125" style="53"/>
  </cols>
  <sheetData>
    <row r="1" spans="1:11" x14ac:dyDescent="0.25">
      <c r="B1" s="77" t="s">
        <v>46</v>
      </c>
      <c r="C1" s="78"/>
      <c r="D1" s="74"/>
      <c r="E1" s="74"/>
      <c r="F1" s="74"/>
      <c r="G1" s="79"/>
    </row>
    <row r="2" spans="1:11" x14ac:dyDescent="0.25">
      <c r="B2" s="55" t="s">
        <v>10</v>
      </c>
      <c r="C2" s="55" t="s">
        <v>44</v>
      </c>
      <c r="D2" s="55" t="s">
        <v>6</v>
      </c>
    </row>
    <row r="3" spans="1:11" x14ac:dyDescent="0.25">
      <c r="A3" s="53">
        <v>10000</v>
      </c>
      <c r="B3" s="76">
        <v>700.00000000000011</v>
      </c>
      <c r="C3" s="76">
        <v>9300</v>
      </c>
      <c r="D3" s="53">
        <v>145</v>
      </c>
    </row>
    <row r="4" spans="1:11" x14ac:dyDescent="0.25">
      <c r="A4" s="53">
        <v>15000</v>
      </c>
      <c r="B4" s="76">
        <v>1050</v>
      </c>
      <c r="C4" s="76">
        <v>13950</v>
      </c>
      <c r="D4" s="53">
        <v>842.5</v>
      </c>
    </row>
    <row r="5" spans="1:11" x14ac:dyDescent="0.25">
      <c r="A5" s="53">
        <v>20000</v>
      </c>
      <c r="B5" s="76">
        <v>1400.0000000000002</v>
      </c>
      <c r="C5" s="76">
        <v>18600</v>
      </c>
      <c r="D5" s="53">
        <v>1636.6666666666667</v>
      </c>
    </row>
    <row r="7" spans="1:11" x14ac:dyDescent="0.25">
      <c r="A7" s="74" t="s">
        <v>45</v>
      </c>
      <c r="B7" s="81"/>
      <c r="C7" s="81"/>
      <c r="D7" s="82"/>
      <c r="E7"/>
      <c r="F7"/>
    </row>
    <row r="8" spans="1:11" x14ac:dyDescent="0.25">
      <c r="A8" s="75">
        <v>25000</v>
      </c>
      <c r="B8" s="83"/>
      <c r="C8" s="83"/>
      <c r="D8" s="80"/>
      <c r="E8"/>
      <c r="F8"/>
    </row>
    <row r="9" spans="1:11" x14ac:dyDescent="0.25">
      <c r="A9" s="75">
        <v>30000</v>
      </c>
      <c r="B9" s="83"/>
      <c r="C9" s="83"/>
      <c r="D9" s="80"/>
      <c r="E9"/>
      <c r="F9"/>
    </row>
    <row r="10" spans="1:11" x14ac:dyDescent="0.25">
      <c r="A10" s="75">
        <v>35000</v>
      </c>
      <c r="B10" s="83"/>
      <c r="C10" s="83"/>
      <c r="D10" s="80"/>
      <c r="E10"/>
      <c r="F10"/>
    </row>
    <row r="11" spans="1:11" x14ac:dyDescent="0.25">
      <c r="A11" s="75">
        <v>40000</v>
      </c>
      <c r="B11" s="84"/>
      <c r="C11" s="83"/>
      <c r="D11" s="80"/>
      <c r="E11"/>
      <c r="F11"/>
    </row>
    <row r="12" spans="1:11" x14ac:dyDescent="0.25">
      <c r="A12" s="75">
        <v>45000</v>
      </c>
      <c r="B12" s="84"/>
      <c r="C12" s="83"/>
      <c r="D12" s="80"/>
      <c r="E12"/>
      <c r="F12"/>
    </row>
    <row r="13" spans="1:11" x14ac:dyDescent="0.25">
      <c r="A13" s="75">
        <v>50000</v>
      </c>
      <c r="B13" s="84"/>
      <c r="C13" s="83"/>
      <c r="D13" s="80"/>
      <c r="E13"/>
      <c r="F13"/>
    </row>
    <row r="14" spans="1:11" x14ac:dyDescent="0.25">
      <c r="B14" s="56"/>
      <c r="C14" s="56"/>
      <c r="E14" s="54"/>
      <c r="F14"/>
    </row>
    <row r="15" spans="1:11" x14ac:dyDescent="0.25">
      <c r="B15" s="56"/>
      <c r="C15" s="56"/>
      <c r="E15" s="54"/>
      <c r="F15" s="54"/>
    </row>
    <row r="16" spans="1:11" x14ac:dyDescent="0.25">
      <c r="J16" s="54"/>
      <c r="K16" s="54"/>
    </row>
    <row r="17" spans="10:11" x14ac:dyDescent="0.25">
      <c r="J17" s="54"/>
      <c r="K17" s="54"/>
    </row>
    <row r="18" spans="10:11" x14ac:dyDescent="0.25">
      <c r="J18" s="54"/>
      <c r="K18" s="54"/>
    </row>
    <row r="19" spans="10:11" x14ac:dyDescent="0.25">
      <c r="J19" s="54"/>
      <c r="K19" s="54"/>
    </row>
    <row r="20" spans="10:11" x14ac:dyDescent="0.25">
      <c r="J20" s="54"/>
      <c r="K20" s="54"/>
    </row>
    <row r="21" spans="10:11" x14ac:dyDescent="0.25">
      <c r="J21" s="54"/>
      <c r="K21" s="54"/>
    </row>
    <row r="22" spans="10:11" x14ac:dyDescent="0.25">
      <c r="J22" s="54"/>
      <c r="K22" s="54"/>
    </row>
    <row r="23" spans="10:11" x14ac:dyDescent="0.25">
      <c r="J23" s="54"/>
      <c r="K23" s="54"/>
    </row>
    <row r="24" spans="10:11" x14ac:dyDescent="0.25">
      <c r="J24" s="54"/>
      <c r="K24" s="54"/>
    </row>
    <row r="25" spans="10:11" x14ac:dyDescent="0.25">
      <c r="J25" s="54"/>
      <c r="K25" s="54"/>
    </row>
    <row r="26" spans="10:11" x14ac:dyDescent="0.25">
      <c r="K26" s="54"/>
    </row>
    <row r="27" spans="10:11" x14ac:dyDescent="0.25">
      <c r="K27" s="54"/>
    </row>
    <row r="28" spans="10:11" x14ac:dyDescent="0.25">
      <c r="K28" s="54"/>
    </row>
    <row r="29" spans="10:11" x14ac:dyDescent="0.25">
      <c r="K29" s="5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IR PNatural</vt:lpstr>
      <vt:lpstr>IR PAsalariada</vt:lpstr>
      <vt:lpstr>IR SV</vt:lpstr>
      <vt:lpstr>Hoja3</vt:lpstr>
      <vt:lpstr>Nuevo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Yader</dc:creator>
  <cp:lastModifiedBy>Yader</cp:lastModifiedBy>
  <cp:lastPrinted>2012-09-10T05:29:07Z</cp:lastPrinted>
  <dcterms:created xsi:type="dcterms:W3CDTF">2012-09-09T17:45:52Z</dcterms:created>
  <dcterms:modified xsi:type="dcterms:W3CDTF">2022-01-09T08:12:38Z</dcterms:modified>
</cp:coreProperties>
</file>